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<sst xmlns="http://schemas.openxmlformats.org/spreadsheetml/2006/main" count="257" uniqueCount="202">
  <si>
    <t xml:space="preserve">WORK BREAKDOWN STRUCTURE (WBS) - PERANCANGAN APLIKASI PEMESANAN BERBASIS WEB PADA TOKO SCEVRA PARFUME</t>
  </si>
  <si>
    <t xml:space="preserve">Kode WBS</t>
  </si>
  <si>
    <t xml:space="preserve">Nama Pekerjaan</t>
  </si>
  <si>
    <t xml:space="preserve">Deliverable / Luaran</t>
  </si>
  <si>
    <t xml:space="preserve">PIC (Role)</t>
  </si>
  <si>
    <t xml:space="preserve">Tanggal Mulai</t>
  </si>
  <si>
    <t xml:space="preserve">Tanggal Selesai</t>
  </si>
  <si>
    <t xml:space="preserve">Durasi</t>
  </si>
  <si>
    <t xml:space="preserve">0</t>
  </si>
  <si>
    <t xml:space="preserve">PERANCANGAN APLIKASI PEMESANAN BERBASIS WEB PADA TOKO SCEVRA PARFUME</t>
  </si>
  <si>
    <t xml:space="preserve">Aplikasi web pemesanan Scevra Parfume diserahkan dan diterima klien</t>
  </si>
  <si>
    <t xml:space="preserve">Project Manager</t>
  </si>
  <si>
    <t xml:space="preserve">1</t>
  </si>
  <si>
    <t xml:space="preserve">DEFINISI PROYEK</t>
  </si>
  <si>
    <t xml:space="preserve">Requirement Document dan Persetujuan Klien</t>
  </si>
  <si>
    <t xml:space="preserve">1.1</t>
  </si>
  <si>
    <t xml:space="preserve">Penetapan Klien dan Kesepakatan Awal (Toko Scevra Parfume)</t>
  </si>
  <si>
    <t xml:space="preserve">Klien dan Topik Proyek Ditetapkan</t>
  </si>
  <si>
    <t xml:space="preserve">1.2</t>
  </si>
  <si>
    <t xml:space="preserve">Wawancara Klien via WhatsApp (Masalah, Alur Pemesanan, Tampilan)</t>
  </si>
  <si>
    <t xml:space="preserve">Catatan Hasil Wawancara</t>
  </si>
  <si>
    <t xml:space="preserve">System Analyst</t>
  </si>
  <si>
    <t xml:space="preserve">1.3</t>
  </si>
  <si>
    <t xml:space="preserve">Penentuan Tujuan, Ruang Lingkup, dan Batasan Proyek</t>
  </si>
  <si>
    <t xml:space="preserve">Tujuan, Ruang Lingkup, dan Batasan Proyek</t>
  </si>
  <si>
    <t xml:space="preserve">1.4</t>
  </si>
  <si>
    <t xml:space="preserve">Kajian Alternatif Solusi dan Pemilihan Metodologi (Agile)</t>
  </si>
  <si>
    <t xml:space="preserve">Solusi dan Metodologi Terpilih</t>
  </si>
  <si>
    <t xml:space="preserve">1.5</t>
  </si>
  <si>
    <t xml:space="preserve">Penyusunan Requirement Document</t>
  </si>
  <si>
    <t xml:space="preserve">Requirement Document Versi 1.0</t>
  </si>
  <si>
    <t xml:space="preserve">Technical Writer</t>
  </si>
  <si>
    <t xml:space="preserve">1.6</t>
  </si>
  <si>
    <t xml:space="preserve">Persetujuan Requirement Document oleh Klien</t>
  </si>
  <si>
    <t xml:space="preserve">Lembar Persetujuan Klien Bertanda Tangan</t>
  </si>
  <si>
    <t xml:space="preserve">2</t>
  </si>
  <si>
    <t xml:space="preserve">PERENCANAAN</t>
  </si>
  <si>
    <t xml:space="preserve">Dokumen Perencanaan (Kelayakan, WBS, Gantt Chart) Disetujui</t>
  </si>
  <si>
    <t xml:space="preserve">2.1</t>
  </si>
  <si>
    <t xml:space="preserve">Analisis Kelayakan Proyek (Teknis, Ekonomi, Operasional, Jadwal)</t>
  </si>
  <si>
    <t xml:space="preserve">Dokumen Studi Kelayakan</t>
  </si>
  <si>
    <t xml:space="preserve">2.2</t>
  </si>
  <si>
    <t xml:space="preserve">Penyusunan Work Breakdown Structure (WBS)</t>
  </si>
  <si>
    <t xml:space="preserve">WBS Proyek</t>
  </si>
  <si>
    <t xml:space="preserve">2.3</t>
  </si>
  <si>
    <t xml:space="preserve">Penyusunan Jadwal dan Gantt Chart</t>
  </si>
  <si>
    <t xml:space="preserve">Gantt Chart Proyek</t>
  </si>
  <si>
    <t xml:space="preserve">2.4</t>
  </si>
  <si>
    <t xml:space="preserve">Perencanaan Risiko, Komunikasi, dan Sumber Daya</t>
  </si>
  <si>
    <t xml:space="preserve">Rencana Risiko dan Komunikasi</t>
  </si>
  <si>
    <t xml:space="preserve">2.5</t>
  </si>
  <si>
    <t xml:space="preserve">Review dan Persetujuan Rencana Proyek dengan Klien</t>
  </si>
  <si>
    <t xml:space="preserve">Rencana Proyek Disetujui</t>
  </si>
  <si>
    <t xml:space="preserve">3</t>
  </si>
  <si>
    <t xml:space="preserve">ANALISIS KEBUTUHAN</t>
  </si>
  <si>
    <t xml:space="preserve">SRS Final Disetujui Klien</t>
  </si>
  <si>
    <t xml:space="preserve">3.1</t>
  </si>
  <si>
    <t xml:space="preserve">Wawancara Lanjutan dan Validasi Kebutuhan Klien</t>
  </si>
  <si>
    <t xml:space="preserve">Daftar Kebutuhan Tervalidasi</t>
  </si>
  <si>
    <t xml:space="preserve">3.2</t>
  </si>
  <si>
    <t xml:space="preserve">Analisis Kebutuhan Fungsional (F-01 s.d. F-08) dan Non-Fungsional</t>
  </si>
  <si>
    <t xml:space="preserve">Daftar Kebutuhan Fungsional dan Non-Fungsional</t>
  </si>
  <si>
    <t xml:space="preserve">3.3</t>
  </si>
  <si>
    <t xml:space="preserve">Perancangan Use Case Diagram dan Activity Diagram</t>
  </si>
  <si>
    <t xml:space="preserve">Use Case dan Activity Diagram</t>
  </si>
  <si>
    <t xml:space="preserve">3.4</t>
  </si>
  <si>
    <t xml:space="preserve">Penentuan Prioritas Kebutuhan (MoSCoW)</t>
  </si>
  <si>
    <t xml:space="preserve">Daftar Prioritas MoSCoW</t>
  </si>
  <si>
    <t xml:space="preserve">3.5</t>
  </si>
  <si>
    <t xml:space="preserve">Penyusunan dan Review SRS bersama Klien</t>
  </si>
  <si>
    <t xml:space="preserve">Dokumen SRS</t>
  </si>
  <si>
    <t xml:space="preserve">4</t>
  </si>
  <si>
    <t xml:space="preserve">DESAIN SISTEM</t>
  </si>
  <si>
    <t xml:space="preserve">SDD Final dan Desain Disetujui Klien</t>
  </si>
  <si>
    <t xml:space="preserve">System Designer</t>
  </si>
  <si>
    <t xml:space="preserve">4.1</t>
  </si>
  <si>
    <t xml:space="preserve">Perancangan Arsitektur Sistem</t>
  </si>
  <si>
    <t xml:space="preserve">Arsitektur Sistem</t>
  </si>
  <si>
    <t xml:space="preserve">4.2</t>
  </si>
  <si>
    <t xml:space="preserve">Perancangan Basis Data (ERD dan Struktur Tabel)</t>
  </si>
  <si>
    <t xml:space="preserve">ERD dan Struktur Tabel</t>
  </si>
  <si>
    <t xml:space="preserve">4.3</t>
  </si>
  <si>
    <t xml:space="preserve">Perancangan Antarmuka (Wireframe dan Mockup Desktop dan Mobile)</t>
  </si>
  <si>
    <t xml:space="preserve">Wireframe dan Mockup Antarmuka</t>
  </si>
  <si>
    <t xml:space="preserve">4.3.1</t>
  </si>
  <si>
    <t xml:space="preserve">Mockup halaman pelanggan (katalog, detail, keranjang, checkout)</t>
  </si>
  <si>
    <t xml:space="preserve">Mockup halaman pelanggan</t>
  </si>
  <si>
    <t xml:space="preserve">4.3.2</t>
  </si>
  <si>
    <t xml:space="preserve">Mockup halaman admin (login, produk, pesanan)</t>
  </si>
  <si>
    <t xml:space="preserve">Mockup halaman admin</t>
  </si>
  <si>
    <t xml:space="preserve">4.4</t>
  </si>
  <si>
    <t xml:space="preserve">Penyusunan Software Design Document (SDD)</t>
  </si>
  <si>
    <t xml:space="preserve">Dokumen SDD</t>
  </si>
  <si>
    <t xml:space="preserve">4.5</t>
  </si>
  <si>
    <t xml:space="preserve">Review Desain dengan Klien</t>
  </si>
  <si>
    <t xml:space="preserve">Desain Disetujui Klien</t>
  </si>
  <si>
    <t xml:space="preserve">5</t>
  </si>
  <si>
    <t xml:space="preserve">PEMROGRAMAN (3 SPRINT)</t>
  </si>
  <si>
    <t xml:space="preserve">Aplikasi Web Fungsional dan Dokumen Implementasi</t>
  </si>
  <si>
    <t xml:space="preserve">Programmer</t>
  </si>
  <si>
    <t xml:space="preserve">5.1</t>
  </si>
  <si>
    <t xml:space="preserve">Sprint 1: Setup Sistem, Katalog, Detail Produk, Login Admin</t>
  </si>
  <si>
    <t xml:space="preserve">Katalog, Detail Produk, Login Admin Berfungsi</t>
  </si>
  <si>
    <t xml:space="preserve">5.1.1</t>
  </si>
  <si>
    <t xml:space="preserve">Setup lingkungan pengembangan dan basis data</t>
  </si>
  <si>
    <t xml:space="preserve">Lingkungan dan database siap</t>
  </si>
  <si>
    <t xml:space="preserve">5.1.2</t>
  </si>
  <si>
    <t xml:space="preserve">Halaman katalog produk parfum (F-01)</t>
  </si>
  <si>
    <t xml:space="preserve">Katalog produk berfungsi</t>
  </si>
  <si>
    <t xml:space="preserve">5.1.3</t>
  </si>
  <si>
    <t xml:space="preserve">Halaman detail produk: foto, harga, stok, deskripsi (F-02)</t>
  </si>
  <si>
    <t xml:space="preserve">Detail produk berfungsi</t>
  </si>
  <si>
    <t xml:space="preserve">5.1.4</t>
  </si>
  <si>
    <t xml:space="preserve">Login admin (F-06)</t>
  </si>
  <si>
    <t xml:space="preserve">Login admin berfungsi</t>
  </si>
  <si>
    <t xml:space="preserve">5.2</t>
  </si>
  <si>
    <t xml:space="preserve">Demo Progres Sprint 1 kepada Klien</t>
  </si>
  <si>
    <t xml:space="preserve">Umpan Balik Sprint 1</t>
  </si>
  <si>
    <t xml:space="preserve">5.3</t>
  </si>
  <si>
    <t xml:space="preserve">Sprint 2: Keranjang, Checkout, Pilihan Pengiriman dan Pembayaran</t>
  </si>
  <si>
    <t xml:space="preserve">Alur Pembelian Berfungsi</t>
  </si>
  <si>
    <t xml:space="preserve">5.3.1</t>
  </si>
  <si>
    <t xml:space="preserve">Keranjang belanja (F-03)</t>
  </si>
  <si>
    <t xml:space="preserve">Keranjang berfungsi</t>
  </si>
  <si>
    <t xml:space="preserve">5.3.2</t>
  </si>
  <si>
    <t xml:space="preserve">Checkout dan pengisian data pemesanan (F-04)</t>
  </si>
  <si>
    <t xml:space="preserve">Checkout berfungsi</t>
  </si>
  <si>
    <t xml:space="preserve">5.3.3</t>
  </si>
  <si>
    <t xml:space="preserve">Pemilihan jasa pengiriman dan metode pembayaran (F-05)</t>
  </si>
  <si>
    <t xml:space="preserve">Pilihan pengiriman dan pembayaran berfungsi</t>
  </si>
  <si>
    <t xml:space="preserve">5.4</t>
  </si>
  <si>
    <t xml:space="preserve">Demo Progres Sprint 2 kepada Klien</t>
  </si>
  <si>
    <t xml:space="preserve">Umpan Balik Sprint 2</t>
  </si>
  <si>
    <t xml:space="preserve">5.5</t>
  </si>
  <si>
    <t xml:space="preserve">Sprint 3: Kelola Produk, Stok, dan Pesanan oleh Admin</t>
  </si>
  <si>
    <t xml:space="preserve">Halaman Admin Berfungsi</t>
  </si>
  <si>
    <t xml:space="preserve">5.5.1</t>
  </si>
  <si>
    <t xml:space="preserve">Pengelolaan data produk dan stok oleh admin (F-07)</t>
  </si>
  <si>
    <t xml:space="preserve">Kelola produk dan stok berfungsi</t>
  </si>
  <si>
    <t xml:space="preserve">5.5.2</t>
  </si>
  <si>
    <t xml:space="preserve">Pengelolaan pesanan oleh admin: verifikasi pembayaran, status, nomor resi manual (F-08)</t>
  </si>
  <si>
    <t xml:space="preserve">Kelola pesanan berfungsi</t>
  </si>
  <si>
    <t xml:space="preserve">5.5.3</t>
  </si>
  <si>
    <t xml:space="preserve">Penyesuaian tampilan desktop dan mobile (landscape)</t>
  </si>
  <si>
    <t xml:space="preserve">Tampilan konsisten di desktop dan mobile</t>
  </si>
  <si>
    <t xml:space="preserve">5.6</t>
  </si>
  <si>
    <t xml:space="preserve">Demo Progres Sprint 3 kepada Klien</t>
  </si>
  <si>
    <t xml:space="preserve">Umpan Balik Sprint 3</t>
  </si>
  <si>
    <t xml:space="preserve">5.7</t>
  </si>
  <si>
    <t xml:space="preserve">Penyusunan Dokumen Implementasi</t>
  </si>
  <si>
    <t xml:space="preserve">Dokumen Implementasi</t>
  </si>
  <si>
    <t xml:space="preserve">6</t>
  </si>
  <si>
    <t xml:space="preserve">PENGUJIAN</t>
  </si>
  <si>
    <t xml:space="preserve">Seluruh Skenario UAT Diterima Klien</t>
  </si>
  <si>
    <t xml:space="preserve">Tester</t>
  </si>
  <si>
    <t xml:space="preserve">6.1</t>
  </si>
  <si>
    <t xml:space="preserve">Penyusunan Skenario Pengujian dan UAT</t>
  </si>
  <si>
    <t xml:space="preserve">Skenario Pengujian dan UAT</t>
  </si>
  <si>
    <t xml:space="preserve">6.2</t>
  </si>
  <si>
    <t xml:space="preserve">Pengujian Fungsional (Black Box)</t>
  </si>
  <si>
    <t xml:space="preserve">Laporan Hasil Pengujian</t>
  </si>
  <si>
    <t xml:space="preserve">6.3</t>
  </si>
  <si>
    <t xml:space="preserve">User Acceptance Test (UAT) bersama Klien</t>
  </si>
  <si>
    <t xml:space="preserve">Hasil UAT</t>
  </si>
  <si>
    <t xml:space="preserve">6.4</t>
  </si>
  <si>
    <t xml:space="preserve">Perbaikan Bug Hasil Pengujian</t>
  </si>
  <si>
    <t xml:space="preserve">Aplikasi Hasil Perbaikan</t>
  </si>
  <si>
    <t xml:space="preserve">7</t>
  </si>
  <si>
    <t xml:space="preserve">PENERAPAN</t>
  </si>
  <si>
    <t xml:space="preserve">BAST Ditandatangani Klien</t>
  </si>
  <si>
    <t xml:space="preserve">7.1</t>
  </si>
  <si>
    <t xml:space="preserve">Deployment ke Hosting dan Domain</t>
  </si>
  <si>
    <t xml:space="preserve">Website Live di Domain</t>
  </si>
  <si>
    <t xml:space="preserve">7.2</t>
  </si>
  <si>
    <t xml:space="preserve">Penyusunan User Manual dan Dokumen Penerapan</t>
  </si>
  <si>
    <t xml:space="preserve">User Manual dan Dokumen Penerapan</t>
  </si>
  <si>
    <t xml:space="preserve">7.3</t>
  </si>
  <si>
    <t xml:space="preserve">Pelatihan Penggunaan Sistem untuk Admin/Pemilik</t>
  </si>
  <si>
    <t xml:space="preserve">Pelatihan Selesai</t>
  </si>
  <si>
    <t xml:space="preserve">7.4</t>
  </si>
  <si>
    <t xml:space="preserve">Penyusunan Laporan Proyek</t>
  </si>
  <si>
    <t xml:space="preserve">Laporan Proyek</t>
  </si>
  <si>
    <t xml:space="preserve">7.5</t>
  </si>
  <si>
    <t xml:space="preserve">Penandatanganan Berita Acara Serah Terima (BAST)</t>
  </si>
  <si>
    <t xml:space="preserve">BAST Ditandatangani</t>
  </si>
  <si>
    <t xml:space="preserve">8</t>
  </si>
  <si>
    <t xml:space="preserve">PENUTUPAN PROYEK</t>
  </si>
  <si>
    <t xml:space="preserve">Proyek Ditutup (Project Closed)</t>
  </si>
  <si>
    <t xml:space="preserve">8.1</t>
  </si>
  <si>
    <t xml:space="preserve">Perbaikan Akhir Aplikasi</t>
  </si>
  <si>
    <t xml:space="preserve">Aplikasi Final</t>
  </si>
  <si>
    <t xml:space="preserve">8.2</t>
  </si>
  <si>
    <t xml:space="preserve">Penyelesaian Dokumentasi dan Laporan Akhir</t>
  </si>
  <si>
    <t xml:space="preserve">Dokumentasi dan Laporan Akhir Lengkap</t>
  </si>
  <si>
    <t xml:space="preserve">8.3</t>
  </si>
  <si>
    <t xml:space="preserve">Evaluasi Proyek dan Serah Terima Dokumen</t>
  </si>
  <si>
    <t xml:space="preserve">Laporan Evaluasi Proyek</t>
  </si>
  <si>
    <t xml:space="preserve">Catatan:</t>
  </si>
  <si>
    <t xml:space="preserve">- Kode dan tanggal level 1.1, 2.1, dst. sama dengan file Gantt Chart (Gantt_Chart_Scevra_Parfume.xlsx) sehingga WBS dan jadwal konsisten.</t>
  </si>
  <si>
    <t xml:space="preserve">- Kode F-01 s.d. F-08 mengacu pada fungsi utama di Bagian 5.1 Requirement Document; lingkup yang tidak termasuk (toko offline, integrasi Shopee/TikTok, pelacakan kurir otomatis, aplikasi mobile, iklan berbayar) tidak dimasukkan.</t>
  </si>
  <si>
    <t xml:space="preserve">- Level 3 (huruf miring) merinci pekerjaan di Perancangan Antarmuka dan 3 sprint Pemrograman; tanggalnya mengikuti induknya. Gunakan tombol grup di sisi kiri untuk menyembunyikan/menampilkan level.</t>
  </si>
  <si>
    <t xml:space="preserve">- Rincian pekerjaan adalah usulan; tanggal sub-task (sel biru) dapat diubah dan tanggal fase menyesuaikan otomatis.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</si>
</sst>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&quot; hari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2"/>
      <name val="Calibri"/>
      <family val="0"/>
      <charset val="1"/>
    </font>
    <font>
      <sz val="12"/>
      <name val="Calibri"/>
      <family val="0"/>
      <charset val="1"/>
    </font>
    <font>
      <sz val="12"/>
      <color rgb="FF0000FF"/>
      <name val="Calibri"/>
      <family val="0"/>
      <charset val="1"/>
    </font>
    <font>
      <i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11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B8CCE4"/>
        <bgColor rgb="FF95B3D7"/>
      </patternFill>
    </fill>
    <fill>
      <patternFill patternType="solid">
        <fgColor rgb="FFB2A1C7"/>
        <bgColor rgb="FF95B3D7"/>
      </patternFill>
    </fill>
    <fill>
      <patternFill patternType="solid">
        <fgColor rgb="FFD99594"/>
        <bgColor rgb="FFFF99CC"/>
      </patternFill>
    </fill>
    <fill>
      <patternFill patternType="solid">
        <fgColor rgb="FF92D050"/>
        <bgColor rgb="FFC4BD97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FFFCC"/>
      </patternFill>
    </fill>
    <fill>
      <patternFill patternType="solid">
        <fgColor rgb="FF95B3D7"/>
        <bgColor rgb="FFB2A1C7"/>
      </patternFill>
    </fill>
    <fill>
      <patternFill patternType="solid">
        <fgColor rgb="FF4BACC6"/>
        <bgColor rgb="FF339966"/>
      </patternFill>
    </fill>
    <fill>
      <patternFill patternType="solid">
        <fgColor rgb="FFC4BD97"/>
        <bgColor rgb="FFB2A1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2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3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B2A1C7"/>
      <rgbColor rgb="FF993366"/>
      <rgbColor rgb="FFFFFFCC"/>
      <rgbColor rgb="FFCCFFFF"/>
      <rgbColor rgb="FF660066"/>
      <rgbColor rgb="FFD99594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BD4B4"/>
      <rgbColor rgb="FF3366FF"/>
      <rgbColor rgb="FF4BACC6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11"/>
    <col collapsed="false" customWidth="true" hidden="false" outlineLevel="0" max="2" min="2" style="0" width="68"/>
    <col collapsed="false" customWidth="true" hidden="false" outlineLevel="0" max="3" min="3" style="0" width="48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29.85" hidden="false" customHeight="false" outlineLevel="0" collapsed="false">
      <c r="A3" s="2" t="s">
        <v>8</v>
      </c>
      <c r="B3" s="3" t="s">
        <v>9</v>
      </c>
      <c r="C3" s="3" t="s">
        <v>10</v>
      </c>
      <c r="D3" s="3" t="s">
        <v>11</v>
      </c>
      <c r="E3" s="4" t="n">
        <f aca="false">MIN(E4,E11,E17,E23,E31,E49,E54,E60)</f>
        <v>46293</v>
      </c>
      <c r="F3" s="4" t="n">
        <f aca="false">MAX(F4,F11,F17,F23,F31,F49,F54,F60)</f>
        <v>46404</v>
      </c>
      <c r="G3" s="5" t="n">
        <f aca="false">F3-E3+1</f>
        <v>112</v>
      </c>
    </row>
    <row r="4" customFormat="false" ht="15" hidden="false" customHeight="false" outlineLevel="0" collapsed="false">
      <c r="A4" s="6" t="s">
        <v>12</v>
      </c>
      <c r="B4" s="7" t="s">
        <v>13</v>
      </c>
      <c r="C4" s="8" t="s">
        <v>14</v>
      </c>
      <c r="D4" s="8" t="s">
        <v>11</v>
      </c>
      <c r="E4" s="9" t="n">
        <f aca="false">MIN(E5:E10)</f>
        <v>46293</v>
      </c>
      <c r="F4" s="9" t="n">
        <f aca="false">MAX(F5:F10)</f>
        <v>46305</v>
      </c>
      <c r="G4" s="10" t="n">
        <f aca="false">F4-E4+1</f>
        <v>13</v>
      </c>
    </row>
    <row r="5" customFormat="false" ht="15" hidden="false" customHeight="false" outlineLevel="1" collapsed="false">
      <c r="A5" s="11" t="s">
        <v>15</v>
      </c>
      <c r="B5" s="12" t="s">
        <v>16</v>
      </c>
      <c r="C5" s="13" t="s">
        <v>17</v>
      </c>
      <c r="D5" s="13" t="s">
        <v>11</v>
      </c>
      <c r="E5" s="14" t="n">
        <v>46293</v>
      </c>
      <c r="F5" s="14" t="n">
        <v>46297</v>
      </c>
      <c r="G5" s="15" t="n">
        <f aca="false">F5-E5+1</f>
        <v>5</v>
      </c>
    </row>
    <row r="6" customFormat="false" ht="15" hidden="false" customHeight="false" outlineLevel="1" collapsed="false">
      <c r="A6" s="11" t="s">
        <v>18</v>
      </c>
      <c r="B6" s="12" t="s">
        <v>19</v>
      </c>
      <c r="C6" s="13" t="s">
        <v>20</v>
      </c>
      <c r="D6" s="13" t="s">
        <v>21</v>
      </c>
      <c r="E6" s="14" t="n">
        <v>46300</v>
      </c>
      <c r="F6" s="14" t="n">
        <v>46304</v>
      </c>
      <c r="G6" s="15" t="n">
        <f aca="false">F6-E6+1</f>
        <v>5</v>
      </c>
    </row>
    <row r="7" customFormat="false" ht="15" hidden="false" customHeight="false" outlineLevel="1" collapsed="false">
      <c r="A7" s="11" t="s">
        <v>22</v>
      </c>
      <c r="B7" s="12" t="s">
        <v>23</v>
      </c>
      <c r="C7" s="13" t="s">
        <v>24</v>
      </c>
      <c r="D7" s="13" t="s">
        <v>21</v>
      </c>
      <c r="E7" s="14" t="n">
        <v>46300</v>
      </c>
      <c r="F7" s="14" t="n">
        <v>46303</v>
      </c>
      <c r="G7" s="15" t="n">
        <f aca="false">F7-E7+1</f>
        <v>4</v>
      </c>
    </row>
    <row r="8" customFormat="false" ht="15" hidden="false" customHeight="false" outlineLevel="1" collapsed="false">
      <c r="A8" s="11" t="s">
        <v>25</v>
      </c>
      <c r="B8" s="12" t="s">
        <v>26</v>
      </c>
      <c r="C8" s="13" t="s">
        <v>27</v>
      </c>
      <c r="D8" s="13" t="s">
        <v>11</v>
      </c>
      <c r="E8" s="14" t="n">
        <v>46301</v>
      </c>
      <c r="F8" s="14" t="n">
        <v>46304</v>
      </c>
      <c r="G8" s="15" t="n">
        <f aca="false">F8-E8+1</f>
        <v>4</v>
      </c>
    </row>
    <row r="9" customFormat="false" ht="15" hidden="false" customHeight="false" outlineLevel="1" collapsed="false">
      <c r="A9" s="11" t="s">
        <v>28</v>
      </c>
      <c r="B9" s="12" t="s">
        <v>29</v>
      </c>
      <c r="C9" s="13" t="s">
        <v>30</v>
      </c>
      <c r="D9" s="13" t="s">
        <v>31</v>
      </c>
      <c r="E9" s="14" t="n">
        <v>46301</v>
      </c>
      <c r="F9" s="14" t="n">
        <v>46305</v>
      </c>
      <c r="G9" s="15" t="n">
        <f aca="false">F9-E9+1</f>
        <v>5</v>
      </c>
    </row>
    <row r="10" customFormat="false" ht="15" hidden="false" customHeight="false" outlineLevel="1" collapsed="false">
      <c r="A10" s="11" t="s">
        <v>32</v>
      </c>
      <c r="B10" s="12" t="s">
        <v>33</v>
      </c>
      <c r="C10" s="13" t="s">
        <v>34</v>
      </c>
      <c r="D10" s="13" t="s">
        <v>11</v>
      </c>
      <c r="E10" s="14" t="n">
        <v>46304</v>
      </c>
      <c r="F10" s="14" t="n">
        <v>46305</v>
      </c>
      <c r="G10" s="15" t="n">
        <f aca="false">F10-E10+1</f>
        <v>2</v>
      </c>
    </row>
    <row r="11" customFormat="false" ht="29.85" hidden="false" customHeight="false" outlineLevel="0" collapsed="false">
      <c r="A11" s="16" t="s">
        <v>35</v>
      </c>
      <c r="B11" s="17" t="s">
        <v>36</v>
      </c>
      <c r="C11" s="8" t="s">
        <v>37</v>
      </c>
      <c r="D11" s="8" t="s">
        <v>11</v>
      </c>
      <c r="E11" s="9" t="n">
        <f aca="false">MIN(E12:E16)</f>
        <v>46307</v>
      </c>
      <c r="F11" s="9" t="n">
        <f aca="false">MAX(F12:F16)</f>
        <v>46320</v>
      </c>
      <c r="G11" s="10" t="n">
        <f aca="false">F11-E11+1</f>
        <v>14</v>
      </c>
    </row>
    <row r="12" customFormat="false" ht="15" hidden="false" customHeight="false" outlineLevel="1" collapsed="false">
      <c r="A12" s="11" t="s">
        <v>38</v>
      </c>
      <c r="B12" s="12" t="s">
        <v>39</v>
      </c>
      <c r="C12" s="13" t="s">
        <v>40</v>
      </c>
      <c r="D12" s="13" t="s">
        <v>21</v>
      </c>
      <c r="E12" s="14" t="n">
        <v>46307</v>
      </c>
      <c r="F12" s="14" t="n">
        <v>46311</v>
      </c>
      <c r="G12" s="15" t="n">
        <f aca="false">F12-E12+1</f>
        <v>5</v>
      </c>
    </row>
    <row r="13" customFormat="false" ht="15" hidden="false" customHeight="false" outlineLevel="1" collapsed="false">
      <c r="A13" s="11" t="s">
        <v>41</v>
      </c>
      <c r="B13" s="12" t="s">
        <v>42</v>
      </c>
      <c r="C13" s="13" t="s">
        <v>43</v>
      </c>
      <c r="D13" s="13" t="s">
        <v>11</v>
      </c>
      <c r="E13" s="14" t="n">
        <v>46307</v>
      </c>
      <c r="F13" s="14" t="n">
        <v>46313</v>
      </c>
      <c r="G13" s="15" t="n">
        <f aca="false">F13-E13+1</f>
        <v>7</v>
      </c>
    </row>
    <row r="14" customFormat="false" ht="15" hidden="false" customHeight="false" outlineLevel="1" collapsed="false">
      <c r="A14" s="11" t="s">
        <v>44</v>
      </c>
      <c r="B14" s="12" t="s">
        <v>45</v>
      </c>
      <c r="C14" s="13" t="s">
        <v>46</v>
      </c>
      <c r="D14" s="13" t="s">
        <v>11</v>
      </c>
      <c r="E14" s="14" t="n">
        <v>46310</v>
      </c>
      <c r="F14" s="14" t="n">
        <v>46315</v>
      </c>
      <c r="G14" s="15" t="n">
        <f aca="false">F14-E14+1</f>
        <v>6</v>
      </c>
    </row>
    <row r="15" customFormat="false" ht="15" hidden="false" customHeight="false" outlineLevel="1" collapsed="false">
      <c r="A15" s="11" t="s">
        <v>47</v>
      </c>
      <c r="B15" s="12" t="s">
        <v>48</v>
      </c>
      <c r="C15" s="13" t="s">
        <v>49</v>
      </c>
      <c r="D15" s="13" t="s">
        <v>11</v>
      </c>
      <c r="E15" s="14" t="n">
        <v>46314</v>
      </c>
      <c r="F15" s="14" t="n">
        <v>46318</v>
      </c>
      <c r="G15" s="15" t="n">
        <f aca="false">F15-E15+1</f>
        <v>5</v>
      </c>
    </row>
    <row r="16" customFormat="false" ht="15" hidden="false" customHeight="false" outlineLevel="1" collapsed="false">
      <c r="A16" s="11" t="s">
        <v>50</v>
      </c>
      <c r="B16" s="12" t="s">
        <v>51</v>
      </c>
      <c r="C16" s="13" t="s">
        <v>52</v>
      </c>
      <c r="D16" s="13" t="s">
        <v>11</v>
      </c>
      <c r="E16" s="14" t="n">
        <v>46318</v>
      </c>
      <c r="F16" s="14" t="n">
        <v>46320</v>
      </c>
      <c r="G16" s="15" t="n">
        <f aca="false">F16-E16+1</f>
        <v>3</v>
      </c>
    </row>
    <row r="17" customFormat="false" ht="15" hidden="false" customHeight="false" outlineLevel="0" collapsed="false">
      <c r="A17" s="18" t="s">
        <v>53</v>
      </c>
      <c r="B17" s="19" t="s">
        <v>54</v>
      </c>
      <c r="C17" s="8" t="s">
        <v>55</v>
      </c>
      <c r="D17" s="8" t="s">
        <v>21</v>
      </c>
      <c r="E17" s="9" t="n">
        <f aca="false">MIN(E18:E22)</f>
        <v>46321</v>
      </c>
      <c r="F17" s="9" t="n">
        <f aca="false">MAX(F18:F22)</f>
        <v>46334</v>
      </c>
      <c r="G17" s="10" t="n">
        <f aca="false">F17-E17+1</f>
        <v>14</v>
      </c>
    </row>
    <row r="18" customFormat="false" ht="15" hidden="false" customHeight="false" outlineLevel="1" collapsed="false">
      <c r="A18" s="11" t="s">
        <v>56</v>
      </c>
      <c r="B18" s="12" t="s">
        <v>57</v>
      </c>
      <c r="C18" s="13" t="s">
        <v>58</v>
      </c>
      <c r="D18" s="13" t="s">
        <v>21</v>
      </c>
      <c r="E18" s="14" t="n">
        <v>46321</v>
      </c>
      <c r="F18" s="14" t="n">
        <v>46326</v>
      </c>
      <c r="G18" s="15" t="n">
        <f aca="false">F18-E18+1</f>
        <v>6</v>
      </c>
    </row>
    <row r="19" customFormat="false" ht="15" hidden="false" customHeight="false" outlineLevel="1" collapsed="false">
      <c r="A19" s="11" t="s">
        <v>59</v>
      </c>
      <c r="B19" s="12" t="s">
        <v>60</v>
      </c>
      <c r="C19" s="13" t="s">
        <v>61</v>
      </c>
      <c r="D19" s="13" t="s">
        <v>21</v>
      </c>
      <c r="E19" s="14" t="n">
        <v>46322</v>
      </c>
      <c r="F19" s="14" t="n">
        <v>46328</v>
      </c>
      <c r="G19" s="15" t="n">
        <f aca="false">F19-E19+1</f>
        <v>7</v>
      </c>
    </row>
    <row r="20" customFormat="false" ht="15" hidden="false" customHeight="false" outlineLevel="1" collapsed="false">
      <c r="A20" s="11" t="s">
        <v>62</v>
      </c>
      <c r="B20" s="12" t="s">
        <v>63</v>
      </c>
      <c r="C20" s="13" t="s">
        <v>64</v>
      </c>
      <c r="D20" s="13" t="s">
        <v>21</v>
      </c>
      <c r="E20" s="14" t="n">
        <v>46328</v>
      </c>
      <c r="F20" s="14" t="n">
        <v>46331</v>
      </c>
      <c r="G20" s="15" t="n">
        <f aca="false">F20-E20+1</f>
        <v>4</v>
      </c>
    </row>
    <row r="21" customFormat="false" ht="15" hidden="false" customHeight="false" outlineLevel="1" collapsed="false">
      <c r="A21" s="11" t="s">
        <v>65</v>
      </c>
      <c r="B21" s="12" t="s">
        <v>66</v>
      </c>
      <c r="C21" s="13" t="s">
        <v>67</v>
      </c>
      <c r="D21" s="13" t="s">
        <v>21</v>
      </c>
      <c r="E21" s="14" t="n">
        <v>46330</v>
      </c>
      <c r="F21" s="14" t="n">
        <v>46332</v>
      </c>
      <c r="G21" s="15" t="n">
        <f aca="false">F21-E21+1</f>
        <v>3</v>
      </c>
    </row>
    <row r="22" customFormat="false" ht="15" hidden="false" customHeight="false" outlineLevel="1" collapsed="false">
      <c r="A22" s="11" t="s">
        <v>68</v>
      </c>
      <c r="B22" s="12" t="s">
        <v>69</v>
      </c>
      <c r="C22" s="13" t="s">
        <v>70</v>
      </c>
      <c r="D22" s="13" t="s">
        <v>21</v>
      </c>
      <c r="E22" s="14" t="n">
        <v>46331</v>
      </c>
      <c r="F22" s="14" t="n">
        <v>46334</v>
      </c>
      <c r="G22" s="15" t="n">
        <f aca="false">F22-E22+1</f>
        <v>4</v>
      </c>
    </row>
    <row r="23" customFormat="false" ht="15" hidden="false" customHeight="false" outlineLevel="0" collapsed="false">
      <c r="A23" s="20" t="s">
        <v>71</v>
      </c>
      <c r="B23" s="21" t="s">
        <v>72</v>
      </c>
      <c r="C23" s="8" t="s">
        <v>73</v>
      </c>
      <c r="D23" s="8" t="s">
        <v>74</v>
      </c>
      <c r="E23" s="9" t="n">
        <f aca="false">MIN(E24:E30)</f>
        <v>46335</v>
      </c>
      <c r="F23" s="9" t="n">
        <f aca="false">MAX(F24:F30)</f>
        <v>46348</v>
      </c>
      <c r="G23" s="10" t="n">
        <f aca="false">F23-E23+1</f>
        <v>14</v>
      </c>
    </row>
    <row r="24" customFormat="false" ht="15" hidden="false" customHeight="false" outlineLevel="1" collapsed="false">
      <c r="A24" s="11" t="s">
        <v>75</v>
      </c>
      <c r="B24" s="12" t="s">
        <v>76</v>
      </c>
      <c r="C24" s="13" t="s">
        <v>77</v>
      </c>
      <c r="D24" s="13" t="s">
        <v>74</v>
      </c>
      <c r="E24" s="14" t="n">
        <v>46335</v>
      </c>
      <c r="F24" s="14" t="n">
        <v>46339</v>
      </c>
      <c r="G24" s="15" t="n">
        <f aca="false">F24-E24+1</f>
        <v>5</v>
      </c>
    </row>
    <row r="25" customFormat="false" ht="15" hidden="false" customHeight="false" outlineLevel="1" collapsed="false">
      <c r="A25" s="11" t="s">
        <v>78</v>
      </c>
      <c r="B25" s="12" t="s">
        <v>79</v>
      </c>
      <c r="C25" s="13" t="s">
        <v>80</v>
      </c>
      <c r="D25" s="13" t="s">
        <v>74</v>
      </c>
      <c r="E25" s="14" t="n">
        <v>46336</v>
      </c>
      <c r="F25" s="14" t="n">
        <v>46343</v>
      </c>
      <c r="G25" s="15" t="n">
        <f aca="false">F25-E25+1</f>
        <v>8</v>
      </c>
    </row>
    <row r="26" customFormat="false" ht="15" hidden="false" customHeight="false" outlineLevel="1" collapsed="false">
      <c r="A26" s="11" t="s">
        <v>81</v>
      </c>
      <c r="B26" s="12" t="s">
        <v>82</v>
      </c>
      <c r="C26" s="13" t="s">
        <v>83</v>
      </c>
      <c r="D26" s="13" t="s">
        <v>74</v>
      </c>
      <c r="E26" s="14" t="n">
        <v>46338</v>
      </c>
      <c r="F26" s="14" t="n">
        <v>46345</v>
      </c>
      <c r="G26" s="15" t="n">
        <f aca="false">F26-E26+1</f>
        <v>8</v>
      </c>
    </row>
    <row r="27" customFormat="false" ht="15" hidden="false" customHeight="false" outlineLevel="2" collapsed="false">
      <c r="A27" s="22" t="s">
        <v>84</v>
      </c>
      <c r="B27" s="23" t="s">
        <v>85</v>
      </c>
      <c r="C27" s="24" t="s">
        <v>86</v>
      </c>
      <c r="D27" s="24" t="s">
        <v>74</v>
      </c>
      <c r="E27" s="25" t="n">
        <f aca="false">E26</f>
        <v>46338</v>
      </c>
      <c r="F27" s="25" t="n">
        <f aca="false">F26</f>
        <v>46345</v>
      </c>
      <c r="G27" s="26" t="n">
        <f aca="false">F27-E27+1</f>
        <v>8</v>
      </c>
    </row>
    <row r="28" customFormat="false" ht="15" hidden="false" customHeight="false" outlineLevel="2" collapsed="false">
      <c r="A28" s="22" t="s">
        <v>87</v>
      </c>
      <c r="B28" s="23" t="s">
        <v>88</v>
      </c>
      <c r="C28" s="24" t="s">
        <v>89</v>
      </c>
      <c r="D28" s="24" t="s">
        <v>74</v>
      </c>
      <c r="E28" s="25" t="n">
        <f aca="false">E26</f>
        <v>46338</v>
      </c>
      <c r="F28" s="25" t="n">
        <f aca="false">F26</f>
        <v>46345</v>
      </c>
      <c r="G28" s="26" t="n">
        <f aca="false">F28-E28+1</f>
        <v>8</v>
      </c>
    </row>
    <row r="29" customFormat="false" ht="15" hidden="false" customHeight="false" outlineLevel="1" collapsed="false">
      <c r="A29" s="11" t="s">
        <v>90</v>
      </c>
      <c r="B29" s="12" t="s">
        <v>91</v>
      </c>
      <c r="C29" s="13" t="s">
        <v>92</v>
      </c>
      <c r="D29" s="13" t="s">
        <v>31</v>
      </c>
      <c r="E29" s="14" t="n">
        <v>46343</v>
      </c>
      <c r="F29" s="14" t="n">
        <v>46346</v>
      </c>
      <c r="G29" s="15" t="n">
        <f aca="false">F29-E29+1</f>
        <v>4</v>
      </c>
    </row>
    <row r="30" customFormat="false" ht="15" hidden="false" customHeight="false" outlineLevel="1" collapsed="false">
      <c r="A30" s="11" t="s">
        <v>93</v>
      </c>
      <c r="B30" s="12" t="s">
        <v>94</v>
      </c>
      <c r="C30" s="13" t="s">
        <v>95</v>
      </c>
      <c r="D30" s="13" t="s">
        <v>11</v>
      </c>
      <c r="E30" s="14" t="n">
        <v>46346</v>
      </c>
      <c r="F30" s="14" t="n">
        <v>46348</v>
      </c>
      <c r="G30" s="15" t="n">
        <f aca="false">F30-E30+1</f>
        <v>3</v>
      </c>
    </row>
    <row r="31" customFormat="false" ht="29.85" hidden="false" customHeight="false" outlineLevel="0" collapsed="false">
      <c r="A31" s="27" t="s">
        <v>96</v>
      </c>
      <c r="B31" s="28" t="s">
        <v>97</v>
      </c>
      <c r="C31" s="8" t="s">
        <v>98</v>
      </c>
      <c r="D31" s="8" t="s">
        <v>99</v>
      </c>
      <c r="E31" s="9" t="n">
        <f aca="false">MIN(E32:E48)</f>
        <v>46349</v>
      </c>
      <c r="F31" s="9" t="n">
        <f aca="false">MAX(F32:F48)</f>
        <v>46375</v>
      </c>
      <c r="G31" s="10" t="n">
        <f aca="false">F31-E31+1</f>
        <v>27</v>
      </c>
    </row>
    <row r="32" customFormat="false" ht="15" hidden="false" customHeight="false" outlineLevel="1" collapsed="false">
      <c r="A32" s="11" t="s">
        <v>100</v>
      </c>
      <c r="B32" s="12" t="s">
        <v>101</v>
      </c>
      <c r="C32" s="13" t="s">
        <v>102</v>
      </c>
      <c r="D32" s="13" t="s">
        <v>99</v>
      </c>
      <c r="E32" s="14" t="n">
        <v>46349</v>
      </c>
      <c r="F32" s="14" t="n">
        <v>46353</v>
      </c>
      <c r="G32" s="15" t="n">
        <f aca="false">F32-E32+1</f>
        <v>5</v>
      </c>
    </row>
    <row r="33" customFormat="false" ht="15" hidden="false" customHeight="false" outlineLevel="2" collapsed="false">
      <c r="A33" s="22" t="s">
        <v>103</v>
      </c>
      <c r="B33" s="23" t="s">
        <v>104</v>
      </c>
      <c r="C33" s="24" t="s">
        <v>105</v>
      </c>
      <c r="D33" s="24" t="s">
        <v>99</v>
      </c>
      <c r="E33" s="25" t="n">
        <f aca="false">E32</f>
        <v>46349</v>
      </c>
      <c r="F33" s="25" t="n">
        <f aca="false">F32</f>
        <v>46353</v>
      </c>
      <c r="G33" s="26" t="n">
        <f aca="false">F33-E33+1</f>
        <v>5</v>
      </c>
    </row>
    <row r="34" customFormat="false" ht="15" hidden="false" customHeight="false" outlineLevel="2" collapsed="false">
      <c r="A34" s="22" t="s">
        <v>106</v>
      </c>
      <c r="B34" s="23" t="s">
        <v>107</v>
      </c>
      <c r="C34" s="24" t="s">
        <v>108</v>
      </c>
      <c r="D34" s="24" t="s">
        <v>99</v>
      </c>
      <c r="E34" s="25" t="n">
        <f aca="false">E32</f>
        <v>46349</v>
      </c>
      <c r="F34" s="25" t="n">
        <f aca="false">F32</f>
        <v>46353</v>
      </c>
      <c r="G34" s="26" t="n">
        <f aca="false">F34-E34+1</f>
        <v>5</v>
      </c>
    </row>
    <row r="35" customFormat="false" ht="15" hidden="false" customHeight="false" outlineLevel="2" collapsed="false">
      <c r="A35" s="22" t="s">
        <v>109</v>
      </c>
      <c r="B35" s="23" t="s">
        <v>110</v>
      </c>
      <c r="C35" s="24" t="s">
        <v>111</v>
      </c>
      <c r="D35" s="24" t="s">
        <v>99</v>
      </c>
      <c r="E35" s="25" t="n">
        <f aca="false">E32</f>
        <v>46349</v>
      </c>
      <c r="F35" s="25" t="n">
        <f aca="false">F32</f>
        <v>46353</v>
      </c>
      <c r="G35" s="26" t="n">
        <f aca="false">F35-E35+1</f>
        <v>5</v>
      </c>
    </row>
    <row r="36" customFormat="false" ht="15" hidden="false" customHeight="false" outlineLevel="2" collapsed="false">
      <c r="A36" s="22" t="s">
        <v>112</v>
      </c>
      <c r="B36" s="23" t="s">
        <v>113</v>
      </c>
      <c r="C36" s="24" t="s">
        <v>114</v>
      </c>
      <c r="D36" s="24" t="s">
        <v>99</v>
      </c>
      <c r="E36" s="25" t="n">
        <f aca="false">E32</f>
        <v>46349</v>
      </c>
      <c r="F36" s="25" t="n">
        <f aca="false">F32</f>
        <v>46353</v>
      </c>
      <c r="G36" s="26" t="n">
        <f aca="false">F36-E36+1</f>
        <v>5</v>
      </c>
    </row>
    <row r="37" customFormat="false" ht="15" hidden="false" customHeight="false" outlineLevel="1" collapsed="false">
      <c r="A37" s="11" t="s">
        <v>115</v>
      </c>
      <c r="B37" s="12" t="s">
        <v>116</v>
      </c>
      <c r="C37" s="13" t="s">
        <v>117</v>
      </c>
      <c r="D37" s="13" t="s">
        <v>11</v>
      </c>
      <c r="E37" s="14" t="n">
        <v>46353</v>
      </c>
      <c r="F37" s="14" t="n">
        <v>46354</v>
      </c>
      <c r="G37" s="15" t="n">
        <f aca="false">F37-E37+1</f>
        <v>2</v>
      </c>
    </row>
    <row r="38" customFormat="false" ht="15" hidden="false" customHeight="false" outlineLevel="1" collapsed="false">
      <c r="A38" s="11" t="s">
        <v>118</v>
      </c>
      <c r="B38" s="12" t="s">
        <v>119</v>
      </c>
      <c r="C38" s="13" t="s">
        <v>120</v>
      </c>
      <c r="D38" s="13" t="s">
        <v>99</v>
      </c>
      <c r="E38" s="14" t="n">
        <v>46356</v>
      </c>
      <c r="F38" s="14" t="n">
        <v>46360</v>
      </c>
      <c r="G38" s="15" t="n">
        <f aca="false">F38-E38+1</f>
        <v>5</v>
      </c>
    </row>
    <row r="39" customFormat="false" ht="15" hidden="false" customHeight="false" outlineLevel="2" collapsed="false">
      <c r="A39" s="22" t="s">
        <v>121</v>
      </c>
      <c r="B39" s="23" t="s">
        <v>122</v>
      </c>
      <c r="C39" s="24" t="s">
        <v>123</v>
      </c>
      <c r="D39" s="24" t="s">
        <v>99</v>
      </c>
      <c r="E39" s="25" t="n">
        <f aca="false">E38</f>
        <v>46356</v>
      </c>
      <c r="F39" s="25" t="n">
        <f aca="false">F38</f>
        <v>46360</v>
      </c>
      <c r="G39" s="26" t="n">
        <f aca="false">F39-E39+1</f>
        <v>5</v>
      </c>
    </row>
    <row r="40" customFormat="false" ht="15" hidden="false" customHeight="false" outlineLevel="2" collapsed="false">
      <c r="A40" s="22" t="s">
        <v>124</v>
      </c>
      <c r="B40" s="23" t="s">
        <v>125</v>
      </c>
      <c r="C40" s="24" t="s">
        <v>126</v>
      </c>
      <c r="D40" s="24" t="s">
        <v>99</v>
      </c>
      <c r="E40" s="25" t="n">
        <f aca="false">E38</f>
        <v>46356</v>
      </c>
      <c r="F40" s="25" t="n">
        <f aca="false">F38</f>
        <v>46360</v>
      </c>
      <c r="G40" s="26" t="n">
        <f aca="false">F40-E40+1</f>
        <v>5</v>
      </c>
    </row>
    <row r="41" customFormat="false" ht="15" hidden="false" customHeight="false" outlineLevel="2" collapsed="false">
      <c r="A41" s="22" t="s">
        <v>127</v>
      </c>
      <c r="B41" s="23" t="s">
        <v>128</v>
      </c>
      <c r="C41" s="24" t="s">
        <v>129</v>
      </c>
      <c r="D41" s="24" t="s">
        <v>99</v>
      </c>
      <c r="E41" s="25" t="n">
        <f aca="false">E38</f>
        <v>46356</v>
      </c>
      <c r="F41" s="25" t="n">
        <f aca="false">F38</f>
        <v>46360</v>
      </c>
      <c r="G41" s="26" t="n">
        <f aca="false">F41-E41+1</f>
        <v>5</v>
      </c>
    </row>
    <row r="42" customFormat="false" ht="15" hidden="false" customHeight="false" outlineLevel="1" collapsed="false">
      <c r="A42" s="11" t="s">
        <v>130</v>
      </c>
      <c r="B42" s="12" t="s">
        <v>131</v>
      </c>
      <c r="C42" s="13" t="s">
        <v>132</v>
      </c>
      <c r="D42" s="13" t="s">
        <v>11</v>
      </c>
      <c r="E42" s="14" t="n">
        <v>46360</v>
      </c>
      <c r="F42" s="14" t="n">
        <v>46361</v>
      </c>
      <c r="G42" s="15" t="n">
        <f aca="false">F42-E42+1</f>
        <v>2</v>
      </c>
    </row>
    <row r="43" customFormat="false" ht="15" hidden="false" customHeight="false" outlineLevel="1" collapsed="false">
      <c r="A43" s="11" t="s">
        <v>133</v>
      </c>
      <c r="B43" s="12" t="s">
        <v>134</v>
      </c>
      <c r="C43" s="13" t="s">
        <v>135</v>
      </c>
      <c r="D43" s="13" t="s">
        <v>99</v>
      </c>
      <c r="E43" s="14" t="n">
        <v>46370</v>
      </c>
      <c r="F43" s="14" t="n">
        <v>46374</v>
      </c>
      <c r="G43" s="15" t="n">
        <f aca="false">F43-E43+1</f>
        <v>5</v>
      </c>
    </row>
    <row r="44" customFormat="false" ht="15" hidden="false" customHeight="false" outlineLevel="2" collapsed="false">
      <c r="A44" s="22" t="s">
        <v>136</v>
      </c>
      <c r="B44" s="23" t="s">
        <v>137</v>
      </c>
      <c r="C44" s="24" t="s">
        <v>138</v>
      </c>
      <c r="D44" s="24" t="s">
        <v>99</v>
      </c>
      <c r="E44" s="25" t="n">
        <f aca="false">E43</f>
        <v>46370</v>
      </c>
      <c r="F44" s="25" t="n">
        <f aca="false">F43</f>
        <v>46374</v>
      </c>
      <c r="G44" s="26" t="n">
        <f aca="false">F44-E44+1</f>
        <v>5</v>
      </c>
    </row>
    <row r="45" customFormat="false" ht="29.85" hidden="false" customHeight="false" outlineLevel="2" collapsed="false">
      <c r="A45" s="22" t="s">
        <v>139</v>
      </c>
      <c r="B45" s="23" t="s">
        <v>140</v>
      </c>
      <c r="C45" s="24" t="s">
        <v>141</v>
      </c>
      <c r="D45" s="24" t="s">
        <v>99</v>
      </c>
      <c r="E45" s="25" t="n">
        <f aca="false">E43</f>
        <v>46370</v>
      </c>
      <c r="F45" s="25" t="n">
        <f aca="false">F43</f>
        <v>46374</v>
      </c>
      <c r="G45" s="26" t="n">
        <f aca="false">F45-E45+1</f>
        <v>5</v>
      </c>
    </row>
    <row r="46" customFormat="false" ht="15" hidden="false" customHeight="false" outlineLevel="2" collapsed="false">
      <c r="A46" s="22" t="s">
        <v>142</v>
      </c>
      <c r="B46" s="23" t="s">
        <v>143</v>
      </c>
      <c r="C46" s="24" t="s">
        <v>144</v>
      </c>
      <c r="D46" s="24" t="s">
        <v>99</v>
      </c>
      <c r="E46" s="25" t="n">
        <f aca="false">E43</f>
        <v>46370</v>
      </c>
      <c r="F46" s="25" t="n">
        <f aca="false">F43</f>
        <v>46374</v>
      </c>
      <c r="G46" s="26" t="n">
        <f aca="false">F46-E46+1</f>
        <v>5</v>
      </c>
    </row>
    <row r="47" customFormat="false" ht="15" hidden="false" customHeight="false" outlineLevel="1" collapsed="false">
      <c r="A47" s="11" t="s">
        <v>145</v>
      </c>
      <c r="B47" s="12" t="s">
        <v>146</v>
      </c>
      <c r="C47" s="13" t="s">
        <v>147</v>
      </c>
      <c r="D47" s="13" t="s">
        <v>11</v>
      </c>
      <c r="E47" s="14" t="n">
        <v>46374</v>
      </c>
      <c r="F47" s="14" t="n">
        <v>46375</v>
      </c>
      <c r="G47" s="15" t="n">
        <f aca="false">F47-E47+1</f>
        <v>2</v>
      </c>
    </row>
    <row r="48" customFormat="false" ht="15" hidden="false" customHeight="false" outlineLevel="1" collapsed="false">
      <c r="A48" s="11" t="s">
        <v>148</v>
      </c>
      <c r="B48" s="12" t="s">
        <v>149</v>
      </c>
      <c r="C48" s="13" t="s">
        <v>150</v>
      </c>
      <c r="D48" s="13" t="s">
        <v>31</v>
      </c>
      <c r="E48" s="14" t="n">
        <v>46370</v>
      </c>
      <c r="F48" s="14" t="n">
        <v>46375</v>
      </c>
      <c r="G48" s="15" t="n">
        <f aca="false">F48-E48+1</f>
        <v>6</v>
      </c>
    </row>
    <row r="49" customFormat="false" ht="15" hidden="false" customHeight="false" outlineLevel="0" collapsed="false">
      <c r="A49" s="29" t="s">
        <v>151</v>
      </c>
      <c r="B49" s="30" t="s">
        <v>152</v>
      </c>
      <c r="C49" s="8" t="s">
        <v>153</v>
      </c>
      <c r="D49" s="8" t="s">
        <v>154</v>
      </c>
      <c r="E49" s="9" t="n">
        <f aca="false">MIN(E50:E53)</f>
        <v>46377</v>
      </c>
      <c r="F49" s="9" t="n">
        <f aca="false">MAX(F50:F53)</f>
        <v>46383</v>
      </c>
      <c r="G49" s="10" t="n">
        <f aca="false">F49-E49+1</f>
        <v>7</v>
      </c>
    </row>
    <row r="50" customFormat="false" ht="15" hidden="false" customHeight="false" outlineLevel="1" collapsed="false">
      <c r="A50" s="11" t="s">
        <v>155</v>
      </c>
      <c r="B50" s="12" t="s">
        <v>156</v>
      </c>
      <c r="C50" s="13" t="s">
        <v>157</v>
      </c>
      <c r="D50" s="13" t="s">
        <v>154</v>
      </c>
      <c r="E50" s="14" t="n">
        <v>46377</v>
      </c>
      <c r="F50" s="14" t="n">
        <v>46378</v>
      </c>
      <c r="G50" s="15" t="n">
        <f aca="false">F50-E50+1</f>
        <v>2</v>
      </c>
    </row>
    <row r="51" customFormat="false" ht="15" hidden="false" customHeight="false" outlineLevel="1" collapsed="false">
      <c r="A51" s="11" t="s">
        <v>158</v>
      </c>
      <c r="B51" s="12" t="s">
        <v>159</v>
      </c>
      <c r="C51" s="13" t="s">
        <v>160</v>
      </c>
      <c r="D51" s="13" t="s">
        <v>154</v>
      </c>
      <c r="E51" s="14" t="n">
        <v>46378</v>
      </c>
      <c r="F51" s="14" t="n">
        <v>46380</v>
      </c>
      <c r="G51" s="15" t="n">
        <f aca="false">F51-E51+1</f>
        <v>3</v>
      </c>
    </row>
    <row r="52" customFormat="false" ht="15" hidden="false" customHeight="false" outlineLevel="1" collapsed="false">
      <c r="A52" s="11" t="s">
        <v>161</v>
      </c>
      <c r="B52" s="12" t="s">
        <v>162</v>
      </c>
      <c r="C52" s="13" t="s">
        <v>163</v>
      </c>
      <c r="D52" s="13" t="s">
        <v>154</v>
      </c>
      <c r="E52" s="14" t="n">
        <v>46380</v>
      </c>
      <c r="F52" s="14" t="n">
        <v>46382</v>
      </c>
      <c r="G52" s="15" t="n">
        <f aca="false">F52-E52+1</f>
        <v>3</v>
      </c>
    </row>
    <row r="53" customFormat="false" ht="15" hidden="false" customHeight="false" outlineLevel="1" collapsed="false">
      <c r="A53" s="11" t="s">
        <v>164</v>
      </c>
      <c r="B53" s="12" t="s">
        <v>165</v>
      </c>
      <c r="C53" s="13" t="s">
        <v>166</v>
      </c>
      <c r="D53" s="13" t="s">
        <v>99</v>
      </c>
      <c r="E53" s="14" t="n">
        <v>46380</v>
      </c>
      <c r="F53" s="14" t="n">
        <v>46383</v>
      </c>
      <c r="G53" s="15" t="n">
        <f aca="false">F53-E53+1</f>
        <v>4</v>
      </c>
    </row>
    <row r="54" customFormat="false" ht="15" hidden="false" customHeight="false" outlineLevel="0" collapsed="false">
      <c r="A54" s="31" t="s">
        <v>167</v>
      </c>
      <c r="B54" s="32" t="s">
        <v>168</v>
      </c>
      <c r="C54" s="8" t="s">
        <v>169</v>
      </c>
      <c r="D54" s="8" t="s">
        <v>11</v>
      </c>
      <c r="E54" s="9" t="n">
        <f aca="false">MIN(E55:E59)</f>
        <v>46384</v>
      </c>
      <c r="F54" s="9" t="n">
        <f aca="false">MAX(F55:F59)</f>
        <v>46397</v>
      </c>
      <c r="G54" s="10" t="n">
        <f aca="false">F54-E54+1</f>
        <v>14</v>
      </c>
    </row>
    <row r="55" customFormat="false" ht="15" hidden="false" customHeight="false" outlineLevel="1" collapsed="false">
      <c r="A55" s="11" t="s">
        <v>170</v>
      </c>
      <c r="B55" s="12" t="s">
        <v>171</v>
      </c>
      <c r="C55" s="13" t="s">
        <v>172</v>
      </c>
      <c r="D55" s="13" t="s">
        <v>99</v>
      </c>
      <c r="E55" s="14" t="n">
        <v>46384</v>
      </c>
      <c r="F55" s="14" t="n">
        <v>46387</v>
      </c>
      <c r="G55" s="15" t="n">
        <f aca="false">F55-E55+1</f>
        <v>4</v>
      </c>
    </row>
    <row r="56" customFormat="false" ht="15" hidden="false" customHeight="false" outlineLevel="1" collapsed="false">
      <c r="A56" s="11" t="s">
        <v>173</v>
      </c>
      <c r="B56" s="12" t="s">
        <v>174</v>
      </c>
      <c r="C56" s="13" t="s">
        <v>175</v>
      </c>
      <c r="D56" s="13" t="s">
        <v>31</v>
      </c>
      <c r="E56" s="14" t="n">
        <v>46384</v>
      </c>
      <c r="F56" s="14" t="n">
        <v>46391</v>
      </c>
      <c r="G56" s="15" t="n">
        <f aca="false">F56-E56+1</f>
        <v>8</v>
      </c>
    </row>
    <row r="57" customFormat="false" ht="15" hidden="false" customHeight="false" outlineLevel="1" collapsed="false">
      <c r="A57" s="11" t="s">
        <v>176</v>
      </c>
      <c r="B57" s="12" t="s">
        <v>177</v>
      </c>
      <c r="C57" s="13" t="s">
        <v>178</v>
      </c>
      <c r="D57" s="13" t="s">
        <v>11</v>
      </c>
      <c r="E57" s="14" t="n">
        <v>46391</v>
      </c>
      <c r="F57" s="14" t="n">
        <v>46393</v>
      </c>
      <c r="G57" s="15" t="n">
        <f aca="false">F57-E57+1</f>
        <v>3</v>
      </c>
    </row>
    <row r="58" customFormat="false" ht="15" hidden="false" customHeight="false" outlineLevel="1" collapsed="false">
      <c r="A58" s="11" t="s">
        <v>179</v>
      </c>
      <c r="B58" s="12" t="s">
        <v>180</v>
      </c>
      <c r="C58" s="13" t="s">
        <v>181</v>
      </c>
      <c r="D58" s="13" t="s">
        <v>31</v>
      </c>
      <c r="E58" s="14" t="n">
        <v>46391</v>
      </c>
      <c r="F58" s="14" t="n">
        <v>46396</v>
      </c>
      <c r="G58" s="15" t="n">
        <f aca="false">F58-E58+1</f>
        <v>6</v>
      </c>
    </row>
    <row r="59" customFormat="false" ht="15" hidden="false" customHeight="false" outlineLevel="1" collapsed="false">
      <c r="A59" s="11" t="s">
        <v>182</v>
      </c>
      <c r="B59" s="12" t="s">
        <v>183</v>
      </c>
      <c r="C59" s="13" t="s">
        <v>184</v>
      </c>
      <c r="D59" s="13" t="s">
        <v>11</v>
      </c>
      <c r="E59" s="14" t="n">
        <v>46395</v>
      </c>
      <c r="F59" s="14" t="n">
        <v>46397</v>
      </c>
      <c r="G59" s="15" t="n">
        <f aca="false">F59-E59+1</f>
        <v>3</v>
      </c>
    </row>
    <row r="60" customFormat="false" ht="15" hidden="false" customHeight="false" outlineLevel="0" collapsed="false">
      <c r="A60" s="33" t="s">
        <v>185</v>
      </c>
      <c r="B60" s="34" t="s">
        <v>186</v>
      </c>
      <c r="C60" s="8" t="s">
        <v>187</v>
      </c>
      <c r="D60" s="8" t="s">
        <v>11</v>
      </c>
      <c r="E60" s="9" t="n">
        <f aca="false">MIN(E61:E63)</f>
        <v>46398</v>
      </c>
      <c r="F60" s="9" t="n">
        <f aca="false">MAX(F61:F63)</f>
        <v>46404</v>
      </c>
      <c r="G60" s="10" t="n">
        <f aca="false">F60-E60+1</f>
        <v>7</v>
      </c>
    </row>
    <row r="61" customFormat="false" ht="15" hidden="false" customHeight="false" outlineLevel="1" collapsed="false">
      <c r="A61" s="11" t="s">
        <v>188</v>
      </c>
      <c r="B61" s="12" t="s">
        <v>189</v>
      </c>
      <c r="C61" s="13" t="s">
        <v>190</v>
      </c>
      <c r="D61" s="13" t="s">
        <v>99</v>
      </c>
      <c r="E61" s="14" t="n">
        <v>46398</v>
      </c>
      <c r="F61" s="14" t="n">
        <v>46401</v>
      </c>
      <c r="G61" s="15" t="n">
        <f aca="false">F61-E61+1</f>
        <v>4</v>
      </c>
    </row>
    <row r="62" customFormat="false" ht="15" hidden="false" customHeight="false" outlineLevel="1" collapsed="false">
      <c r="A62" s="11" t="s">
        <v>191</v>
      </c>
      <c r="B62" s="12" t="s">
        <v>192</v>
      </c>
      <c r="C62" s="13" t="s">
        <v>193</v>
      </c>
      <c r="D62" s="13" t="s">
        <v>31</v>
      </c>
      <c r="E62" s="14" t="n">
        <v>46398</v>
      </c>
      <c r="F62" s="14" t="n">
        <v>46403</v>
      </c>
      <c r="G62" s="15" t="n">
        <f aca="false">F62-E62+1</f>
        <v>6</v>
      </c>
    </row>
    <row r="63" customFormat="false" ht="15" hidden="false" customHeight="false" outlineLevel="1" collapsed="false">
      <c r="A63" s="11" t="s">
        <v>194</v>
      </c>
      <c r="B63" s="12" t="s">
        <v>195</v>
      </c>
      <c r="C63" s="13" t="s">
        <v>196</v>
      </c>
      <c r="D63" s="13" t="s">
        <v>11</v>
      </c>
      <c r="E63" s="14" t="n">
        <v>46402</v>
      </c>
      <c r="F63" s="14" t="n">
        <v>46404</v>
      </c>
      <c r="G63" s="15" t="n">
        <f aca="false">F63-E63+1</f>
        <v>3</v>
      </c>
    </row>
    <row r="65" customFormat="false" ht="15" hidden="false" customHeight="false" outlineLevel="0" collapsed="false">
      <c r="A65" s="35" t="s">
        <v>197</v>
      </c>
    </row>
    <row r="66" customFormat="false" ht="15" hidden="false" customHeight="false" outlineLevel="0" collapsed="false">
      <c r="A66" s="36" t="s">
        <v>198</v>
      </c>
    </row>
    <row r="67" customFormat="false" ht="15" hidden="false" customHeight="false" outlineLevel="0" collapsed="false">
      <c r="A67" s="36" t="s">
        <v>199</v>
      </c>
    </row>
    <row r="68" customFormat="false" ht="15" hidden="false" customHeight="false" outlineLevel="0" collapsed="false">
      <c r="A68" s="36" t="s">
        <v>200</v>
      </c>
    </row>
    <row r="69" customFormat="false" ht="15" hidden="false" customHeight="false" outlineLevel="0" collapsed="false">
      <c r="A69" s="36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2026-10-12T07:05:20Z</dcterms:created>
  <dc:creator>openpyxl</dc:creator>
  <dc:description/>
  <dc:language>en-US</dc:language>
  <cp:lastModifiedBy/>
  <dcterms:modified xsi:type="dcterms:W3CDTF">2026-10-12T07:05:20Z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
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<sst xmlns="http://schemas.openxmlformats.org/spreadsheetml/2006/main" count="206" uniqueCount="164">
  <si>
    <t xml:space="preserve">GANTT CHART - PERANCANGAN APLIKASI PEMESANAN BERBASIS WEB PADA TOKO SCEVRA PARFUME</t>
  </si>
  <si>
    <t xml:space="preserve">ID</t>
  </si>
  <si>
    <t xml:space="preserve">Task</t>
  </si>
  <si>
    <t xml:space="preserve">Role</t>
  </si>
  <si>
    <t xml:space="preserve">Dependency</t>
  </si>
  <si>
    <t xml:space="preserve">Tanggal Mulai</t>
  </si>
  <si>
    <t xml:space="preserve">Tanggal Selesai</t>
  </si>
  <si>
    <t xml:space="preserve">Durasi</t>
  </si>
  <si>
    <t xml:space="preserve">Hasil Akhir / Milestone Mikro</t>
  </si>
  <si>
    <t xml:space="preserve">1</t>
  </si>
  <si>
    <t xml:space="preserve">DEFINISI PROYEK</t>
  </si>
  <si>
    <t xml:space="preserve">Project Manager</t>
  </si>
  <si>
    <t xml:space="preserve">Requirement Document dan Persetujuan Klien</t>
  </si>
  <si>
    <t xml:space="preserve">1.1</t>
  </si>
  <si>
    <t xml:space="preserve">Penetapan Klien dan Kesepakatan Awal (Toko Scevra Parfume)</t>
  </si>
  <si>
    <t xml:space="preserve">Klien dan Topik Proyek Ditetapkan</t>
  </si>
  <si>
    <t xml:space="preserve">1.2</t>
  </si>
  <si>
    <t xml:space="preserve">Wawancara Klien via WhatsApp (Masalah, Alur Pemesanan, Tampilan)</t>
  </si>
  <si>
    <t xml:space="preserve">System Analyst</t>
  </si>
  <si>
    <t xml:space="preserve">Catatan Hasil Wawancara</t>
  </si>
  <si>
    <t xml:space="preserve">1.3</t>
  </si>
  <si>
    <t xml:space="preserve">Penentuan Tujuan, Ruang Lingkup, dan Batasan Proyek</t>
  </si>
  <si>
    <t xml:space="preserve">Tujuan, Ruang Lingkup, dan Batasan Proyek</t>
  </si>
  <si>
    <t xml:space="preserve">1.4</t>
  </si>
  <si>
    <t xml:space="preserve">Kajian Alternatif Solusi dan Pemilihan Metodologi (Agile)</t>
  </si>
  <si>
    <t xml:space="preserve">Solusi dan Metodologi Terpilih</t>
  </si>
  <si>
    <t xml:space="preserve">1.5</t>
  </si>
  <si>
    <t xml:space="preserve">Penyusunan Requirement Document</t>
  </si>
  <si>
    <t xml:space="preserve">Technical Writer</t>
  </si>
  <si>
    <t xml:space="preserve">Requirement Document Versi 1.0</t>
  </si>
  <si>
    <t xml:space="preserve">1.6</t>
  </si>
  <si>
    <t xml:space="preserve">Persetujuan Requirement Document oleh Klien</t>
  </si>
  <si>
    <t xml:space="preserve">Lembar Persetujuan Klien Bertanda Tangan</t>
  </si>
  <si>
    <t xml:space="preserve">2</t>
  </si>
  <si>
    <t xml:space="preserve">PERENCANAAN</t>
  </si>
  <si>
    <t xml:space="preserve">Dokumen Perencanaan (Kelayakan, WBS, Gantt Chart) Disetujui</t>
  </si>
  <si>
    <t xml:space="preserve">2.1</t>
  </si>
  <si>
    <t xml:space="preserve">Analisis Kelayakan Proyek (Teknis, Ekonomi, Operasional, Jadwal)</t>
  </si>
  <si>
    <t xml:space="preserve">Dokumen Studi Kelayakan</t>
  </si>
  <si>
    <t xml:space="preserve">2.2</t>
  </si>
  <si>
    <t xml:space="preserve">Penyusunan Work Breakdown Structure (WBS)</t>
  </si>
  <si>
    <t xml:space="preserve">WBS Proyek</t>
  </si>
  <si>
    <t xml:space="preserve">2.3</t>
  </si>
  <si>
    <t xml:space="preserve">Penyusunan Jadwal dan Gantt Chart</t>
  </si>
  <si>
    <t xml:space="preserve">Gantt Chart Proyek</t>
  </si>
  <si>
    <t xml:space="preserve">2.4</t>
  </si>
  <si>
    <t xml:space="preserve">Perencanaan Risiko, Komunikasi, dan Sumber Daya</t>
  </si>
  <si>
    <t xml:space="preserve">Rencana Risiko dan Komunikasi</t>
  </si>
  <si>
    <t xml:space="preserve">2.5</t>
  </si>
  <si>
    <t xml:space="preserve">Review dan Persetujuan Rencana Proyek dengan Klien</t>
  </si>
  <si>
    <t xml:space="preserve">Rencana Proyek Disetujui</t>
  </si>
  <si>
    <t xml:space="preserve">3</t>
  </si>
  <si>
    <t xml:space="preserve">ANALISIS KEBUTUHAN</t>
  </si>
  <si>
    <t xml:space="preserve">SRS Final Disetujui Klien</t>
  </si>
  <si>
    <t xml:space="preserve">3.1</t>
  </si>
  <si>
    <t xml:space="preserve">Wawancara Lanjutan dan Validasi Kebutuhan Klien</t>
  </si>
  <si>
    <t xml:space="preserve">Daftar Kebutuhan Tervalidasi</t>
  </si>
  <si>
    <t xml:space="preserve">3.2</t>
  </si>
  <si>
    <t xml:space="preserve">Analisis Kebutuhan Fungsional (F-01 s.d. F-08) dan Non-Fungsional</t>
  </si>
  <si>
    <t xml:space="preserve">Daftar Kebutuhan Fungsional dan Non-Fungsional</t>
  </si>
  <si>
    <t xml:space="preserve">3.3</t>
  </si>
  <si>
    <t xml:space="preserve">Perancangan Use Case Diagram dan Activity Diagram</t>
  </si>
  <si>
    <t xml:space="preserve">Use Case dan Activity Diagram</t>
  </si>
  <si>
    <t xml:space="preserve">3.4</t>
  </si>
  <si>
    <t xml:space="preserve">Penentuan Prioritas Kebutuhan (MoSCoW)</t>
  </si>
  <si>
    <t xml:space="preserve">Daftar Prioritas MoSCoW</t>
  </si>
  <si>
    <t xml:space="preserve">3.5</t>
  </si>
  <si>
    <t xml:space="preserve">Penyusunan dan Review SRS bersama Klien</t>
  </si>
  <si>
    <t xml:space="preserve">Dokumen SRS</t>
  </si>
  <si>
    <t xml:space="preserve">4</t>
  </si>
  <si>
    <t xml:space="preserve">DESAIN SISTEM</t>
  </si>
  <si>
    <t xml:space="preserve">System Designer</t>
  </si>
  <si>
    <t xml:space="preserve">SDD Final dan Desain Disetujui Klien</t>
  </si>
  <si>
    <t xml:space="preserve">4.1</t>
  </si>
  <si>
    <t xml:space="preserve">Perancangan Arsitektur Sistem</t>
  </si>
  <si>
    <t xml:space="preserve">Arsitektur Sistem</t>
  </si>
  <si>
    <t xml:space="preserve">4.2</t>
  </si>
  <si>
    <t xml:space="preserve">Perancangan Basis Data (ERD dan Struktur Tabel)</t>
  </si>
  <si>
    <t xml:space="preserve">ERD dan Struktur Tabel</t>
  </si>
  <si>
    <t xml:space="preserve">4.3</t>
  </si>
  <si>
    <t xml:space="preserve">Perancangan Antarmuka (Wireframe dan Mockup Desktop dan Mobile)</t>
  </si>
  <si>
    <t xml:space="preserve">Wireframe dan Mockup Antarmuka</t>
  </si>
  <si>
    <t xml:space="preserve">4.4</t>
  </si>
  <si>
    <t xml:space="preserve">Penyusunan Software Design Document (SDD)</t>
  </si>
  <si>
    <t xml:space="preserve">Dokumen SDD</t>
  </si>
  <si>
    <t xml:space="preserve">4.5</t>
  </si>
  <si>
    <t xml:space="preserve">Review Desain dengan Klien</t>
  </si>
  <si>
    <t xml:space="preserve">Desain Disetujui Klien</t>
  </si>
  <si>
    <t xml:space="preserve">5</t>
  </si>
  <si>
    <t xml:space="preserve">PEMROGRAMAN (3 SPRINT)</t>
  </si>
  <si>
    <t xml:space="preserve">Programmer</t>
  </si>
  <si>
    <t xml:space="preserve">Aplikasi Web Fungsional dan Dokumen Implementasi</t>
  </si>
  <si>
    <t xml:space="preserve">5.1</t>
  </si>
  <si>
    <t xml:space="preserve">Sprint 1: Setup Sistem, Katalog, Detail Produk, Login Admin</t>
  </si>
  <si>
    <t xml:space="preserve">Katalog, Detail Produk, Login Admin Berfungsi</t>
  </si>
  <si>
    <t xml:space="preserve">5.2</t>
  </si>
  <si>
    <t xml:space="preserve">Demo Progres Sprint 1 kepada Klien</t>
  </si>
  <si>
    <t xml:space="preserve">Umpan Balik Sprint 1</t>
  </si>
  <si>
    <t xml:space="preserve">5.3</t>
  </si>
  <si>
    <t xml:space="preserve">Sprint 2: Keranjang, Checkout, Pilihan Pengiriman dan Pembayaran</t>
  </si>
  <si>
    <t xml:space="preserve">Alur Pembelian Berfungsi</t>
  </si>
  <si>
    <t xml:space="preserve">5.4</t>
  </si>
  <si>
    <t xml:space="preserve">Demo Progres Sprint 2 kepada Klien</t>
  </si>
  <si>
    <t xml:space="preserve">Umpan Balik Sprint 2</t>
  </si>
  <si>
    <t xml:space="preserve">5.5</t>
  </si>
  <si>
    <t xml:space="preserve">Sprint 3: Kelola Produk, Stok, dan Pesanan oleh Admin</t>
  </si>
  <si>
    <t xml:space="preserve">Halaman Admin Berfungsi</t>
  </si>
  <si>
    <t xml:space="preserve">5.6</t>
  </si>
  <si>
    <t xml:space="preserve">Demo Progres Sprint 3 kepada Klien</t>
  </si>
  <si>
    <t xml:space="preserve">Umpan Balik Sprint 3</t>
  </si>
  <si>
    <t xml:space="preserve">5.7</t>
  </si>
  <si>
    <t xml:space="preserve">Penyusunan Dokumen Implementasi</t>
  </si>
  <si>
    <t xml:space="preserve">Dokumen Implementasi</t>
  </si>
  <si>
    <t xml:space="preserve">6</t>
  </si>
  <si>
    <t xml:space="preserve">PENGUJIAN</t>
  </si>
  <si>
    <t xml:space="preserve">Tester</t>
  </si>
  <si>
    <t xml:space="preserve">Seluruh Skenario UAT Diterima Klien</t>
  </si>
  <si>
    <t xml:space="preserve">6.1</t>
  </si>
  <si>
    <t xml:space="preserve">Penyusunan Skenario Pengujian dan UAT</t>
  </si>
  <si>
    <t xml:space="preserve">Skenario Pengujian dan UAT</t>
  </si>
  <si>
    <t xml:space="preserve">6.2</t>
  </si>
  <si>
    <t xml:space="preserve">Pengujian Fungsional (Black Box)</t>
  </si>
  <si>
    <t xml:space="preserve">Laporan Hasil Pengujian</t>
  </si>
  <si>
    <t xml:space="preserve">6.3</t>
  </si>
  <si>
    <t xml:space="preserve">User Acceptance Test (UAT) bersama Klien</t>
  </si>
  <si>
    <t xml:space="preserve">Hasil UAT</t>
  </si>
  <si>
    <t xml:space="preserve">6.4</t>
  </si>
  <si>
    <t xml:space="preserve">Perbaikan Bug Hasil Pengujian</t>
  </si>
  <si>
    <t xml:space="preserve">Aplikasi Hasil Perbaikan</t>
  </si>
  <si>
    <t xml:space="preserve">7</t>
  </si>
  <si>
    <t xml:space="preserve">PENERAPAN</t>
  </si>
  <si>
    <t xml:space="preserve">BAST Ditandatangani Klien</t>
  </si>
  <si>
    <t xml:space="preserve">7.1</t>
  </si>
  <si>
    <t xml:space="preserve">Deployment ke Hosting dan Domain</t>
  </si>
  <si>
    <t xml:space="preserve">Website Live di Domain</t>
  </si>
  <si>
    <t xml:space="preserve">7.2</t>
  </si>
  <si>
    <t xml:space="preserve">Penyusunan User Manual dan Dokumen Penerapan</t>
  </si>
  <si>
    <t xml:space="preserve">User Manual dan Dokumen Penerapan</t>
  </si>
  <si>
    <t xml:space="preserve">7.3</t>
  </si>
  <si>
    <t xml:space="preserve">Pelatihan Penggunaan Sistem untuk Admin/Pemilik</t>
  </si>
  <si>
    <t xml:space="preserve">Pelatihan Selesai</t>
  </si>
  <si>
    <t xml:space="preserve">7.4</t>
  </si>
  <si>
    <t xml:space="preserve">Penyusunan Laporan Proyek</t>
  </si>
  <si>
    <t xml:space="preserve">Laporan Proyek</t>
  </si>
  <si>
    <t xml:space="preserve">7.5</t>
  </si>
  <si>
    <t xml:space="preserve">Penandatanganan Berita Acara Serah Terima (BAST)</t>
  </si>
  <si>
    <t xml:space="preserve">BAST Ditandatangani</t>
  </si>
  <si>
    <t xml:space="preserve">8</t>
  </si>
  <si>
    <t xml:space="preserve">PENUTUPAN PROYEK</t>
  </si>
  <si>
    <t xml:space="preserve">Proyek Ditutup (Project Closed)</t>
  </si>
  <si>
    <t xml:space="preserve">8.1</t>
  </si>
  <si>
    <t xml:space="preserve">Perbaikan Akhir Aplikasi</t>
  </si>
  <si>
    <t xml:space="preserve">Aplikasi Final</t>
  </si>
  <si>
    <t xml:space="preserve">8.2</t>
  </si>
  <si>
    <t xml:space="preserve">Penyelesaian Dokumentasi dan Laporan Akhir</t>
  </si>
  <si>
    <t xml:space="preserve">Dokumentasi dan Laporan Akhir Lengkap</t>
  </si>
  <si>
    <t xml:space="preserve">8.3</t>
  </si>
  <si>
    <t xml:space="preserve">Evaluasi Proyek dan Serah Terima Dokumen</t>
  </si>
  <si>
    <t xml:space="preserve">Laporan Evaluasi Proyek</t>
  </si>
  <si>
    <t xml:space="preserve">Catatan:</t>
  </si>
  <si>
    <t xml:space="preserve">- Sumber: Requirement Document Kelompok 1 (Toko Scevra Parfume): 16 minggu mulai 28/09/2026, fase dan minggu mengikuti Bagian 11.1, metodologi Agile dengan 3 sprint (Minggu 9, 10, 12).</t>
  </si>
  <si>
    <t xml:space="preserve">- Minggu 11 (07/12 - 13/12) sengaja kosong untuk pemrograman karena dokumen hanya menjadwalkan sprint di Minggu 9, 10, dan 12. Bar fase Pemrograman tetap membentang dari M9 sampai M12.</t>
  </si>
  <si>
    <t xml:space="preserve">- Minggu 16 dipakai untuk perbaikan akhir dan penyelesaian dokumentasi; pelatihan dan BAST dijadwalkan selesai paling lambat Minggu 15 sesuai batasan waktu proyek.</t>
  </si>
  <si>
    <t xml:space="preserve">- Rincian tugas per fase adalah usulan; tanggal tiap sub-task (sel biru) dan tanggal M1 (H2) dapat diubah, durasi dan bar jadwal menyesuaikan otomatis.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</si>
</sst>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&quot;M1 (&quot;dd/mm\)"/>
    <numFmt numFmtId="166" formatCode="&quot;M2 (&quot;dd/mm\)"/>
    <numFmt numFmtId="167" formatCode="&quot;M3 (&quot;dd/mm\)"/>
    <numFmt numFmtId="168" formatCode="&quot;M4 (&quot;dd/mm\)"/>
    <numFmt numFmtId="169" formatCode="&quot;M5 (&quot;dd/mm\)"/>
    <numFmt numFmtId="170" formatCode="&quot;M6 (&quot;dd/mm\)"/>
    <numFmt numFmtId="171" formatCode="&quot;M7 (&quot;dd/mm\)"/>
    <numFmt numFmtId="172" formatCode="&quot;M8 (&quot;dd/mm\)"/>
    <numFmt numFmtId="173" formatCode="&quot;M9 (&quot;dd/mm\)"/>
    <numFmt numFmtId="174" formatCode="&quot;M10 (&quot;dd/mm\)"/>
    <numFmt numFmtId="175" formatCode="&quot;M11 (&quot;dd/mm\)"/>
    <numFmt numFmtId="176" formatCode="&quot;M12 (&quot;dd/mm\)"/>
    <numFmt numFmtId="177" formatCode="&quot;M13 (&quot;dd/mm\)"/>
    <numFmt numFmtId="178" formatCode="&quot;M14 (&quot;dd/mm\)"/>
    <numFmt numFmtId="179" formatCode="&quot;M15 (&quot;dd/mm\)"/>
    <numFmt numFmtId="180" formatCode="&quot;M16 (&quot;dd/mm\)"/>
    <numFmt numFmtId="181" formatCode="dd/mm/yyyy"/>
    <numFmt numFmtId="182" formatCode="0&quot; hari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i val="true"/>
      <sz val="1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8CCE4"/>
        <bgColor rgb="FF95B3D7"/>
      </patternFill>
    </fill>
    <fill>
      <patternFill patternType="solid">
        <fgColor rgb="FFB2A1C7"/>
        <bgColor rgb="FF95B3D7"/>
      </patternFill>
    </fill>
    <fill>
      <patternFill patternType="solid">
        <fgColor rgb="FFD99594"/>
        <bgColor rgb="FFFF99CC"/>
      </patternFill>
    </fill>
    <fill>
      <patternFill patternType="solid">
        <fgColor rgb="FF92D050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FFFCC"/>
      </patternFill>
    </fill>
    <fill>
      <patternFill patternType="solid">
        <fgColor rgb="FF95B3D7"/>
        <bgColor rgb="FFB2A1C7"/>
      </patternFill>
    </fill>
    <fill>
      <patternFill patternType="solid">
        <fgColor rgb="FF4BACC6"/>
        <bgColor rgb="FF339966"/>
      </patternFill>
    </fill>
    <fill>
      <patternFill patternType="solid">
        <fgColor rgb="FFC4BD97"/>
        <bgColor rgb="FFB2A1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B2A1C7"/>
        </patternFill>
      </fill>
    </dxf>
    <dxf>
      <fill>
        <patternFill>
          <bgColor rgb="FFD9959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BD4B4"/>
        </patternFill>
      </fill>
    </dxf>
    <dxf>
      <fill>
        <patternFill>
          <bgColor rgb="FF95B3D7"/>
        </patternFill>
      </fill>
    </dxf>
    <dxf>
      <fill>
        <patternFill>
          <bgColor rgb="FF4BACC6"/>
        </patternFill>
      </fill>
    </dxf>
    <dxf>
      <fill>
        <patternFill>
          <bgColor rgb="FFC4BD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B2A1C7"/>
      <rgbColor rgb="FF993366"/>
      <rgbColor rgb="FFFFFFCC"/>
      <rgbColor rgb="FFCCFFFF"/>
      <rgbColor rgb="FF660066"/>
      <rgbColor rgb="FFD99594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BD4B4"/>
      <rgbColor rgb="FF3366FF"/>
      <rgbColor rgb="FF4BACC6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23" min="8" style="0" width="11.5"/>
    <col collapsed="false" customWidth="true" hidden="false" outlineLevel="0" max="24" min="24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n">
        <v>46293</v>
      </c>
      <c r="I2" s="4" t="n">
        <f aca="false">H2+7</f>
        <v>46300</v>
      </c>
      <c r="J2" s="5" t="n">
        <f aca="false">I2+7</f>
        <v>46307</v>
      </c>
      <c r="K2" s="6" t="n">
        <f aca="false">J2+7</f>
        <v>46314</v>
      </c>
      <c r="L2" s="7" t="n">
        <f aca="false">K2+7</f>
        <v>46321</v>
      </c>
      <c r="M2" s="8" t="n">
        <f aca="false">L2+7</f>
        <v>46328</v>
      </c>
      <c r="N2" s="9" t="n">
        <f aca="false">M2+7</f>
        <v>46335</v>
      </c>
      <c r="O2" s="10" t="n">
        <f aca="false">N2+7</f>
        <v>46342</v>
      </c>
      <c r="P2" s="11" t="n">
        <f aca="false">O2+7</f>
        <v>46349</v>
      </c>
      <c r="Q2" s="12" t="n">
        <f aca="false">P2+7</f>
        <v>46356</v>
      </c>
      <c r="R2" s="13" t="n">
        <f aca="false">Q2+7</f>
        <v>46363</v>
      </c>
      <c r="S2" s="14" t="n">
        <f aca="false">R2+7</f>
        <v>46370</v>
      </c>
      <c r="T2" s="15" t="n">
        <f aca="false">S2+7</f>
        <v>46377</v>
      </c>
      <c r="U2" s="16" t="n">
        <f aca="false">T2+7</f>
        <v>46384</v>
      </c>
      <c r="V2" s="17" t="n">
        <f aca="false">U2+7</f>
        <v>46391</v>
      </c>
      <c r="W2" s="18" t="n">
        <f aca="false">V2+7</f>
        <v>46398</v>
      </c>
      <c r="X2" s="2" t="s">
        <v>8</v>
      </c>
    </row>
    <row r="3" customFormat="false" ht="15" hidden="false" customHeight="false" outlineLevel="0" collapsed="false">
      <c r="A3" s="19" t="s">
        <v>9</v>
      </c>
      <c r="B3" s="20" t="s">
        <v>10</v>
      </c>
      <c r="C3" s="21" t="s">
        <v>11</v>
      </c>
      <c r="D3" s="22" t="n">
        <v>1</v>
      </c>
      <c r="E3" s="23" t="n">
        <f aca="false">MIN(E4:E9)</f>
        <v>46293</v>
      </c>
      <c r="F3" s="23" t="n">
        <f aca="false">MAX(F4:F9)</f>
        <v>46305</v>
      </c>
      <c r="G3" s="24" t="n">
        <f aca="false">F3-E3+1</f>
        <v>13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1" t="s">
        <v>12</v>
      </c>
    </row>
    <row r="4" customFormat="false" ht="15" hidden="false" customHeight="false" outlineLevel="0" collapsed="false">
      <c r="A4" s="22" t="s">
        <v>13</v>
      </c>
      <c r="B4" s="21" t="s">
        <v>14</v>
      </c>
      <c r="C4" s="21" t="s">
        <v>11</v>
      </c>
      <c r="D4" s="22" t="n">
        <v>1</v>
      </c>
      <c r="E4" s="26" t="n">
        <v>46293</v>
      </c>
      <c r="F4" s="26" t="n">
        <v>46297</v>
      </c>
      <c r="G4" s="24" t="n">
        <f aca="false">F4-E4+1</f>
        <v>5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1" t="s">
        <v>15</v>
      </c>
    </row>
    <row r="5" customFormat="false" ht="29.85" hidden="false" customHeight="false" outlineLevel="0" collapsed="false">
      <c r="A5" s="22" t="s">
        <v>16</v>
      </c>
      <c r="B5" s="21" t="s">
        <v>17</v>
      </c>
      <c r="C5" s="21" t="s">
        <v>18</v>
      </c>
      <c r="D5" s="22" t="n">
        <v>1</v>
      </c>
      <c r="E5" s="26" t="n">
        <v>46300</v>
      </c>
      <c r="F5" s="26" t="n">
        <v>46304</v>
      </c>
      <c r="G5" s="24" t="n">
        <f aca="false">F5-E5+1</f>
        <v>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1" t="s">
        <v>19</v>
      </c>
    </row>
    <row r="6" customFormat="false" ht="15" hidden="false" customHeight="false" outlineLevel="0" collapsed="false">
      <c r="A6" s="22" t="s">
        <v>20</v>
      </c>
      <c r="B6" s="21" t="s">
        <v>21</v>
      </c>
      <c r="C6" s="21" t="s">
        <v>18</v>
      </c>
      <c r="D6" s="22" t="n">
        <v>1</v>
      </c>
      <c r="E6" s="26" t="n">
        <v>46300</v>
      </c>
      <c r="F6" s="26" t="n">
        <v>46303</v>
      </c>
      <c r="G6" s="24" t="n">
        <f aca="false">F6-E6+1</f>
        <v>4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1" t="s">
        <v>22</v>
      </c>
    </row>
    <row r="7" customFormat="false" ht="15" hidden="false" customHeight="false" outlineLevel="0" collapsed="false">
      <c r="A7" s="22" t="s">
        <v>23</v>
      </c>
      <c r="B7" s="21" t="s">
        <v>24</v>
      </c>
      <c r="C7" s="21" t="s">
        <v>11</v>
      </c>
      <c r="D7" s="22" t="n">
        <v>1</v>
      </c>
      <c r="E7" s="26" t="n">
        <v>46301</v>
      </c>
      <c r="F7" s="26" t="n">
        <v>46304</v>
      </c>
      <c r="G7" s="24" t="n">
        <f aca="false">F7-E7+1</f>
        <v>4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1" t="s">
        <v>25</v>
      </c>
    </row>
    <row r="8" customFormat="false" ht="15" hidden="false" customHeight="false" outlineLevel="0" collapsed="false">
      <c r="A8" s="22" t="s">
        <v>26</v>
      </c>
      <c r="B8" s="21" t="s">
        <v>27</v>
      </c>
      <c r="C8" s="21" t="s">
        <v>28</v>
      </c>
      <c r="D8" s="22" t="n">
        <v>1</v>
      </c>
      <c r="E8" s="26" t="n">
        <v>46301</v>
      </c>
      <c r="F8" s="26" t="n">
        <v>46305</v>
      </c>
      <c r="G8" s="24" t="n">
        <f aca="false">F8-E8+1</f>
        <v>5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1" t="s">
        <v>29</v>
      </c>
    </row>
    <row r="9" customFormat="false" ht="15" hidden="false" customHeight="false" outlineLevel="0" collapsed="false">
      <c r="A9" s="22" t="s">
        <v>30</v>
      </c>
      <c r="B9" s="21" t="s">
        <v>31</v>
      </c>
      <c r="C9" s="21" t="s">
        <v>11</v>
      </c>
      <c r="D9" s="22" t="n">
        <v>1</v>
      </c>
      <c r="E9" s="26" t="n">
        <v>46304</v>
      </c>
      <c r="F9" s="26" t="n">
        <v>46305</v>
      </c>
      <c r="G9" s="24" t="n">
        <f aca="false">F9-E9+1</f>
        <v>2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1" t="s">
        <v>32</v>
      </c>
    </row>
    <row r="10" customFormat="false" ht="29.85" hidden="false" customHeight="false" outlineLevel="0" collapsed="false">
      <c r="A10" s="28" t="s">
        <v>33</v>
      </c>
      <c r="B10" s="29" t="s">
        <v>34</v>
      </c>
      <c r="C10" s="21" t="s">
        <v>11</v>
      </c>
      <c r="D10" s="22" t="n">
        <v>2</v>
      </c>
      <c r="E10" s="23" t="n">
        <f aca="false">MIN(E11:E15)</f>
        <v>46307</v>
      </c>
      <c r="F10" s="23" t="n">
        <f aca="false">MAX(F11:F15)</f>
        <v>46320</v>
      </c>
      <c r="G10" s="24" t="n">
        <f aca="false">F10-E10+1</f>
        <v>14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1" t="s">
        <v>35</v>
      </c>
    </row>
    <row r="11" customFormat="false" ht="15" hidden="false" customHeight="false" outlineLevel="0" collapsed="false">
      <c r="A11" s="22" t="s">
        <v>36</v>
      </c>
      <c r="B11" s="21" t="s">
        <v>37</v>
      </c>
      <c r="C11" s="21" t="s">
        <v>18</v>
      </c>
      <c r="D11" s="22" t="n">
        <v>2</v>
      </c>
      <c r="E11" s="26" t="n">
        <v>46307</v>
      </c>
      <c r="F11" s="26" t="n">
        <v>46311</v>
      </c>
      <c r="G11" s="24" t="n">
        <f aca="false">F11-E11+1</f>
        <v>5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1" t="s">
        <v>38</v>
      </c>
    </row>
    <row r="12" customFormat="false" ht="15" hidden="false" customHeight="false" outlineLevel="0" collapsed="false">
      <c r="A12" s="22" t="s">
        <v>39</v>
      </c>
      <c r="B12" s="21" t="s">
        <v>40</v>
      </c>
      <c r="C12" s="21" t="s">
        <v>11</v>
      </c>
      <c r="D12" s="22" t="n">
        <v>2</v>
      </c>
      <c r="E12" s="26" t="n">
        <v>46307</v>
      </c>
      <c r="F12" s="26" t="n">
        <v>46313</v>
      </c>
      <c r="G12" s="24" t="n">
        <f aca="false">F12-E12+1</f>
        <v>7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1" t="s">
        <v>41</v>
      </c>
    </row>
    <row r="13" customFormat="false" ht="15" hidden="false" customHeight="false" outlineLevel="0" collapsed="false">
      <c r="A13" s="22" t="s">
        <v>42</v>
      </c>
      <c r="B13" s="21" t="s">
        <v>43</v>
      </c>
      <c r="C13" s="21" t="s">
        <v>11</v>
      </c>
      <c r="D13" s="22" t="n">
        <v>2</v>
      </c>
      <c r="E13" s="26" t="n">
        <v>46310</v>
      </c>
      <c r="F13" s="26" t="n">
        <v>46315</v>
      </c>
      <c r="G13" s="24" t="n">
        <f aca="false">F13-E13+1</f>
        <v>6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1" t="s">
        <v>44</v>
      </c>
    </row>
    <row r="14" customFormat="false" ht="15" hidden="false" customHeight="false" outlineLevel="0" collapsed="false">
      <c r="A14" s="22" t="s">
        <v>45</v>
      </c>
      <c r="B14" s="21" t="s">
        <v>46</v>
      </c>
      <c r="C14" s="21" t="s">
        <v>11</v>
      </c>
      <c r="D14" s="22" t="n">
        <v>2</v>
      </c>
      <c r="E14" s="26" t="n">
        <v>46314</v>
      </c>
      <c r="F14" s="26" t="n">
        <v>46318</v>
      </c>
      <c r="G14" s="24" t="n">
        <f aca="false">F14-E14+1</f>
        <v>5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1" t="s">
        <v>47</v>
      </c>
    </row>
    <row r="15" customFormat="false" ht="15" hidden="false" customHeight="false" outlineLevel="0" collapsed="false">
      <c r="A15" s="22" t="s">
        <v>48</v>
      </c>
      <c r="B15" s="21" t="s">
        <v>49</v>
      </c>
      <c r="C15" s="21" t="s">
        <v>11</v>
      </c>
      <c r="D15" s="22" t="n">
        <v>2</v>
      </c>
      <c r="E15" s="26" t="n">
        <v>46318</v>
      </c>
      <c r="F15" s="26" t="n">
        <v>46320</v>
      </c>
      <c r="G15" s="24" t="n">
        <f aca="false">F15-E15+1</f>
        <v>3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1" t="s">
        <v>50</v>
      </c>
    </row>
    <row r="16" customFormat="false" ht="15" hidden="false" customHeight="false" outlineLevel="0" collapsed="false">
      <c r="A16" s="30" t="s">
        <v>51</v>
      </c>
      <c r="B16" s="31" t="s">
        <v>52</v>
      </c>
      <c r="C16" s="21" t="s">
        <v>18</v>
      </c>
      <c r="D16" s="22" t="n">
        <v>3</v>
      </c>
      <c r="E16" s="23" t="n">
        <f aca="false">MIN(E17:E21)</f>
        <v>46321</v>
      </c>
      <c r="F16" s="23" t="n">
        <f aca="false">MAX(F17:F21)</f>
        <v>46334</v>
      </c>
      <c r="G16" s="24" t="n">
        <f aca="false">F16-E16+1</f>
        <v>14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1" t="s">
        <v>53</v>
      </c>
    </row>
    <row r="17" customFormat="false" ht="15" hidden="false" customHeight="false" outlineLevel="0" collapsed="false">
      <c r="A17" s="22" t="s">
        <v>54</v>
      </c>
      <c r="B17" s="21" t="s">
        <v>55</v>
      </c>
      <c r="C17" s="21" t="s">
        <v>18</v>
      </c>
      <c r="D17" s="22" t="n">
        <v>3</v>
      </c>
      <c r="E17" s="26" t="n">
        <v>46321</v>
      </c>
      <c r="F17" s="26" t="n">
        <v>46326</v>
      </c>
      <c r="G17" s="24" t="n">
        <f aca="false">F17-E17+1</f>
        <v>6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1" t="s">
        <v>56</v>
      </c>
    </row>
    <row r="18" customFormat="false" ht="15" hidden="false" customHeight="false" outlineLevel="0" collapsed="false">
      <c r="A18" s="22" t="s">
        <v>57</v>
      </c>
      <c r="B18" s="21" t="s">
        <v>58</v>
      </c>
      <c r="C18" s="21" t="s">
        <v>18</v>
      </c>
      <c r="D18" s="22" t="n">
        <v>3</v>
      </c>
      <c r="E18" s="26" t="n">
        <v>46322</v>
      </c>
      <c r="F18" s="26" t="n">
        <v>46328</v>
      </c>
      <c r="G18" s="24" t="n">
        <f aca="false">F18-E18+1</f>
        <v>7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1" t="s">
        <v>59</v>
      </c>
    </row>
    <row r="19" customFormat="false" ht="15" hidden="false" customHeight="false" outlineLevel="0" collapsed="false">
      <c r="A19" s="22" t="s">
        <v>60</v>
      </c>
      <c r="B19" s="21" t="s">
        <v>61</v>
      </c>
      <c r="C19" s="21" t="s">
        <v>18</v>
      </c>
      <c r="D19" s="22" t="n">
        <v>3</v>
      </c>
      <c r="E19" s="26" t="n">
        <v>46328</v>
      </c>
      <c r="F19" s="26" t="n">
        <v>46331</v>
      </c>
      <c r="G19" s="24" t="n">
        <f aca="false">F19-E19+1</f>
        <v>4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1" t="s">
        <v>62</v>
      </c>
    </row>
    <row r="20" customFormat="false" ht="15" hidden="false" customHeight="false" outlineLevel="0" collapsed="false">
      <c r="A20" s="22" t="s">
        <v>63</v>
      </c>
      <c r="B20" s="21" t="s">
        <v>64</v>
      </c>
      <c r="C20" s="21" t="s">
        <v>18</v>
      </c>
      <c r="D20" s="22" t="n">
        <v>3</v>
      </c>
      <c r="E20" s="26" t="n">
        <v>46330</v>
      </c>
      <c r="F20" s="26" t="n">
        <v>46332</v>
      </c>
      <c r="G20" s="24" t="n">
        <f aca="false">F20-E20+1</f>
        <v>3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1" t="s">
        <v>65</v>
      </c>
    </row>
    <row r="21" customFormat="false" ht="15" hidden="false" customHeight="false" outlineLevel="0" collapsed="false">
      <c r="A21" s="22" t="s">
        <v>66</v>
      </c>
      <c r="B21" s="21" t="s">
        <v>67</v>
      </c>
      <c r="C21" s="21" t="s">
        <v>18</v>
      </c>
      <c r="D21" s="22" t="n">
        <v>3</v>
      </c>
      <c r="E21" s="26" t="n">
        <v>46331</v>
      </c>
      <c r="F21" s="26" t="n">
        <v>46334</v>
      </c>
      <c r="G21" s="24" t="n">
        <f aca="false">F21-E21+1</f>
        <v>4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1" t="s">
        <v>68</v>
      </c>
    </row>
    <row r="22" customFormat="false" ht="15" hidden="false" customHeight="false" outlineLevel="0" collapsed="false">
      <c r="A22" s="32" t="s">
        <v>69</v>
      </c>
      <c r="B22" s="33" t="s">
        <v>70</v>
      </c>
      <c r="C22" s="21" t="s">
        <v>71</v>
      </c>
      <c r="D22" s="22" t="n">
        <v>4</v>
      </c>
      <c r="E22" s="23" t="n">
        <f aca="false">MIN(E23:E27)</f>
        <v>46335</v>
      </c>
      <c r="F22" s="23" t="n">
        <f aca="false">MAX(F23:F27)</f>
        <v>46348</v>
      </c>
      <c r="G22" s="24" t="n">
        <f aca="false">F22-E22+1</f>
        <v>14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1" t="s">
        <v>72</v>
      </c>
    </row>
    <row r="23" customFormat="false" ht="15" hidden="false" customHeight="false" outlineLevel="0" collapsed="false">
      <c r="A23" s="22" t="s">
        <v>73</v>
      </c>
      <c r="B23" s="21" t="s">
        <v>74</v>
      </c>
      <c r="C23" s="21" t="s">
        <v>71</v>
      </c>
      <c r="D23" s="22" t="n">
        <v>4</v>
      </c>
      <c r="E23" s="26" t="n">
        <v>46335</v>
      </c>
      <c r="F23" s="26" t="n">
        <v>46339</v>
      </c>
      <c r="G23" s="24" t="n">
        <f aca="false">F23-E23+1</f>
        <v>5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1" t="s">
        <v>75</v>
      </c>
    </row>
    <row r="24" customFormat="false" ht="15" hidden="false" customHeight="false" outlineLevel="0" collapsed="false">
      <c r="A24" s="22" t="s">
        <v>76</v>
      </c>
      <c r="B24" s="21" t="s">
        <v>77</v>
      </c>
      <c r="C24" s="21" t="s">
        <v>71</v>
      </c>
      <c r="D24" s="22" t="n">
        <v>4</v>
      </c>
      <c r="E24" s="26" t="n">
        <v>46336</v>
      </c>
      <c r="F24" s="26" t="n">
        <v>46343</v>
      </c>
      <c r="G24" s="24" t="n">
        <f aca="false">F24-E24+1</f>
        <v>8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1" t="s">
        <v>78</v>
      </c>
    </row>
    <row r="25" customFormat="false" ht="29.85" hidden="false" customHeight="false" outlineLevel="0" collapsed="false">
      <c r="A25" s="22" t="s">
        <v>79</v>
      </c>
      <c r="B25" s="21" t="s">
        <v>80</v>
      </c>
      <c r="C25" s="21" t="s">
        <v>71</v>
      </c>
      <c r="D25" s="22" t="n">
        <v>4</v>
      </c>
      <c r="E25" s="26" t="n">
        <v>46338</v>
      </c>
      <c r="F25" s="26" t="n">
        <v>46345</v>
      </c>
      <c r="G25" s="24" t="n">
        <f aca="false">F25-E25+1</f>
        <v>8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1" t="s">
        <v>81</v>
      </c>
    </row>
    <row r="26" customFormat="false" ht="15" hidden="false" customHeight="false" outlineLevel="0" collapsed="false">
      <c r="A26" s="22" t="s">
        <v>82</v>
      </c>
      <c r="B26" s="21" t="s">
        <v>83</v>
      </c>
      <c r="C26" s="21" t="s">
        <v>28</v>
      </c>
      <c r="D26" s="22" t="n">
        <v>4</v>
      </c>
      <c r="E26" s="26" t="n">
        <v>46343</v>
      </c>
      <c r="F26" s="26" t="n">
        <v>46346</v>
      </c>
      <c r="G26" s="24" t="n">
        <f aca="false">F26-E26+1</f>
        <v>4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1" t="s">
        <v>84</v>
      </c>
    </row>
    <row r="27" customFormat="false" ht="15" hidden="false" customHeight="false" outlineLevel="0" collapsed="false">
      <c r="A27" s="22" t="s">
        <v>85</v>
      </c>
      <c r="B27" s="21" t="s">
        <v>86</v>
      </c>
      <c r="C27" s="21" t="s">
        <v>11</v>
      </c>
      <c r="D27" s="22" t="n">
        <v>4</v>
      </c>
      <c r="E27" s="26" t="n">
        <v>46346</v>
      </c>
      <c r="F27" s="26" t="n">
        <v>46348</v>
      </c>
      <c r="G27" s="24" t="n">
        <f aca="false">F27-E27+1</f>
        <v>3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1" t="s">
        <v>87</v>
      </c>
    </row>
    <row r="28" customFormat="false" ht="29.85" hidden="false" customHeight="false" outlineLevel="0" collapsed="false">
      <c r="A28" s="34" t="s">
        <v>88</v>
      </c>
      <c r="B28" s="35" t="s">
        <v>89</v>
      </c>
      <c r="C28" s="21" t="s">
        <v>90</v>
      </c>
      <c r="D28" s="22" t="n">
        <v>5</v>
      </c>
      <c r="E28" s="23" t="n">
        <f aca="false">MIN(E29:E35)</f>
        <v>46349</v>
      </c>
      <c r="F28" s="23" t="n">
        <f aca="false">MAX(F29:F35)</f>
        <v>46375</v>
      </c>
      <c r="G28" s="24" t="n">
        <f aca="false">F28-E28+1</f>
        <v>27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1" t="s">
        <v>91</v>
      </c>
    </row>
    <row r="29" customFormat="false" ht="15" hidden="false" customHeight="false" outlineLevel="0" collapsed="false">
      <c r="A29" s="22" t="s">
        <v>92</v>
      </c>
      <c r="B29" s="21" t="s">
        <v>93</v>
      </c>
      <c r="C29" s="21" t="s">
        <v>90</v>
      </c>
      <c r="D29" s="22" t="n">
        <v>5</v>
      </c>
      <c r="E29" s="26" t="n">
        <v>46349</v>
      </c>
      <c r="F29" s="26" t="n">
        <v>46353</v>
      </c>
      <c r="G29" s="24" t="n">
        <f aca="false">F29-E29+1</f>
        <v>5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1" t="s">
        <v>94</v>
      </c>
    </row>
    <row r="30" customFormat="false" ht="15" hidden="false" customHeight="false" outlineLevel="0" collapsed="false">
      <c r="A30" s="22" t="s">
        <v>95</v>
      </c>
      <c r="B30" s="21" t="s">
        <v>96</v>
      </c>
      <c r="C30" s="21" t="s">
        <v>11</v>
      </c>
      <c r="D30" s="22" t="n">
        <v>5</v>
      </c>
      <c r="E30" s="26" t="n">
        <v>46353</v>
      </c>
      <c r="F30" s="26" t="n">
        <v>46354</v>
      </c>
      <c r="G30" s="24" t="n">
        <f aca="false">F30-E30+1</f>
        <v>2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1" t="s">
        <v>97</v>
      </c>
    </row>
    <row r="31" customFormat="false" ht="15" hidden="false" customHeight="false" outlineLevel="0" collapsed="false">
      <c r="A31" s="22" t="s">
        <v>98</v>
      </c>
      <c r="B31" s="21" t="s">
        <v>99</v>
      </c>
      <c r="C31" s="21" t="s">
        <v>90</v>
      </c>
      <c r="D31" s="22" t="n">
        <v>5</v>
      </c>
      <c r="E31" s="26" t="n">
        <v>46356</v>
      </c>
      <c r="F31" s="26" t="n">
        <v>46360</v>
      </c>
      <c r="G31" s="24" t="n">
        <f aca="false">F31-E31+1</f>
        <v>5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1" t="s">
        <v>100</v>
      </c>
    </row>
    <row r="32" customFormat="false" ht="15" hidden="false" customHeight="false" outlineLevel="0" collapsed="false">
      <c r="A32" s="22" t="s">
        <v>101</v>
      </c>
      <c r="B32" s="21" t="s">
        <v>102</v>
      </c>
      <c r="C32" s="21" t="s">
        <v>11</v>
      </c>
      <c r="D32" s="22" t="n">
        <v>5</v>
      </c>
      <c r="E32" s="26" t="n">
        <v>46360</v>
      </c>
      <c r="F32" s="26" t="n">
        <v>46361</v>
      </c>
      <c r="G32" s="24" t="n">
        <f aca="false">F32-E32+1</f>
        <v>2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1" t="s">
        <v>103</v>
      </c>
    </row>
    <row r="33" customFormat="false" ht="15" hidden="false" customHeight="false" outlineLevel="0" collapsed="false">
      <c r="A33" s="22" t="s">
        <v>104</v>
      </c>
      <c r="B33" s="21" t="s">
        <v>105</v>
      </c>
      <c r="C33" s="21" t="s">
        <v>90</v>
      </c>
      <c r="D33" s="22" t="n">
        <v>5</v>
      </c>
      <c r="E33" s="26" t="n">
        <v>46370</v>
      </c>
      <c r="F33" s="26" t="n">
        <v>46374</v>
      </c>
      <c r="G33" s="24" t="n">
        <f aca="false">F33-E33+1</f>
        <v>5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1" t="s">
        <v>106</v>
      </c>
    </row>
    <row r="34" customFormat="false" ht="15" hidden="false" customHeight="false" outlineLevel="0" collapsed="false">
      <c r="A34" s="22" t="s">
        <v>107</v>
      </c>
      <c r="B34" s="21" t="s">
        <v>108</v>
      </c>
      <c r="C34" s="21" t="s">
        <v>11</v>
      </c>
      <c r="D34" s="22" t="n">
        <v>5</v>
      </c>
      <c r="E34" s="26" t="n">
        <v>46374</v>
      </c>
      <c r="F34" s="26" t="n">
        <v>46375</v>
      </c>
      <c r="G34" s="24" t="n">
        <f aca="false">F34-E34+1</f>
        <v>2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1" t="s">
        <v>109</v>
      </c>
    </row>
    <row r="35" customFormat="false" ht="15" hidden="false" customHeight="false" outlineLevel="0" collapsed="false">
      <c r="A35" s="22" t="s">
        <v>110</v>
      </c>
      <c r="B35" s="21" t="s">
        <v>111</v>
      </c>
      <c r="C35" s="21" t="s">
        <v>28</v>
      </c>
      <c r="D35" s="22" t="n">
        <v>5</v>
      </c>
      <c r="E35" s="26" t="n">
        <v>46370</v>
      </c>
      <c r="F35" s="26" t="n">
        <v>46375</v>
      </c>
      <c r="G35" s="24" t="n">
        <f aca="false">F35-E35+1</f>
        <v>6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1" t="s">
        <v>112</v>
      </c>
    </row>
    <row r="36" customFormat="false" ht="15" hidden="false" customHeight="false" outlineLevel="0" collapsed="false">
      <c r="A36" s="36" t="s">
        <v>113</v>
      </c>
      <c r="B36" s="37" t="s">
        <v>114</v>
      </c>
      <c r="C36" s="21" t="s">
        <v>115</v>
      </c>
      <c r="D36" s="22" t="n">
        <v>6</v>
      </c>
      <c r="E36" s="23" t="n">
        <f aca="false">MIN(E37:E40)</f>
        <v>46377</v>
      </c>
      <c r="F36" s="23" t="n">
        <f aca="false">MAX(F37:F40)</f>
        <v>46383</v>
      </c>
      <c r="G36" s="24" t="n">
        <f aca="false">F36-E36+1</f>
        <v>7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1" t="s">
        <v>116</v>
      </c>
    </row>
    <row r="37" customFormat="false" ht="15" hidden="false" customHeight="false" outlineLevel="0" collapsed="false">
      <c r="A37" s="22" t="s">
        <v>117</v>
      </c>
      <c r="B37" s="21" t="s">
        <v>118</v>
      </c>
      <c r="C37" s="21" t="s">
        <v>115</v>
      </c>
      <c r="D37" s="22" t="n">
        <v>6</v>
      </c>
      <c r="E37" s="26" t="n">
        <v>46377</v>
      </c>
      <c r="F37" s="26" t="n">
        <v>46378</v>
      </c>
      <c r="G37" s="24" t="n">
        <f aca="false">F37-E37+1</f>
        <v>2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1" t="s">
        <v>119</v>
      </c>
    </row>
    <row r="38" customFormat="false" ht="15" hidden="false" customHeight="false" outlineLevel="0" collapsed="false">
      <c r="A38" s="22" t="s">
        <v>120</v>
      </c>
      <c r="B38" s="21" t="s">
        <v>121</v>
      </c>
      <c r="C38" s="21" t="s">
        <v>115</v>
      </c>
      <c r="D38" s="22" t="n">
        <v>6</v>
      </c>
      <c r="E38" s="26" t="n">
        <v>46378</v>
      </c>
      <c r="F38" s="26" t="n">
        <v>46380</v>
      </c>
      <c r="G38" s="24" t="n">
        <f aca="false">F38-E38+1</f>
        <v>3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1" t="s">
        <v>122</v>
      </c>
    </row>
    <row r="39" customFormat="false" ht="15" hidden="false" customHeight="false" outlineLevel="0" collapsed="false">
      <c r="A39" s="22" t="s">
        <v>123</v>
      </c>
      <c r="B39" s="21" t="s">
        <v>124</v>
      </c>
      <c r="C39" s="21" t="s">
        <v>115</v>
      </c>
      <c r="D39" s="22" t="n">
        <v>6</v>
      </c>
      <c r="E39" s="26" t="n">
        <v>46380</v>
      </c>
      <c r="F39" s="26" t="n">
        <v>46382</v>
      </c>
      <c r="G39" s="24" t="n">
        <f aca="false">F39-E39+1</f>
        <v>3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1" t="s">
        <v>125</v>
      </c>
    </row>
    <row r="40" customFormat="false" ht="15" hidden="false" customHeight="false" outlineLevel="0" collapsed="false">
      <c r="A40" s="22" t="s">
        <v>126</v>
      </c>
      <c r="B40" s="21" t="s">
        <v>127</v>
      </c>
      <c r="C40" s="21" t="s">
        <v>90</v>
      </c>
      <c r="D40" s="22" t="n">
        <v>6</v>
      </c>
      <c r="E40" s="26" t="n">
        <v>46380</v>
      </c>
      <c r="F40" s="26" t="n">
        <v>46383</v>
      </c>
      <c r="G40" s="24" t="n">
        <f aca="false">F40-E40+1</f>
        <v>4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1" t="s">
        <v>128</v>
      </c>
    </row>
    <row r="41" customFormat="false" ht="15" hidden="false" customHeight="false" outlineLevel="0" collapsed="false">
      <c r="A41" s="38" t="s">
        <v>129</v>
      </c>
      <c r="B41" s="39" t="s">
        <v>130</v>
      </c>
      <c r="C41" s="21" t="s">
        <v>11</v>
      </c>
      <c r="D41" s="22" t="n">
        <v>7</v>
      </c>
      <c r="E41" s="23" t="n">
        <f aca="false">MIN(E42:E46)</f>
        <v>46384</v>
      </c>
      <c r="F41" s="23" t="n">
        <f aca="false">MAX(F42:F46)</f>
        <v>46397</v>
      </c>
      <c r="G41" s="24" t="n">
        <f aca="false">F41-E41+1</f>
        <v>14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1" t="s">
        <v>131</v>
      </c>
    </row>
    <row r="42" customFormat="false" ht="15" hidden="false" customHeight="false" outlineLevel="0" collapsed="false">
      <c r="A42" s="22" t="s">
        <v>132</v>
      </c>
      <c r="B42" s="21" t="s">
        <v>133</v>
      </c>
      <c r="C42" s="21" t="s">
        <v>90</v>
      </c>
      <c r="D42" s="22" t="n">
        <v>7</v>
      </c>
      <c r="E42" s="26" t="n">
        <v>46384</v>
      </c>
      <c r="F42" s="26" t="n">
        <v>46387</v>
      </c>
      <c r="G42" s="24" t="n">
        <f aca="false">F42-E42+1</f>
        <v>4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1" t="s">
        <v>134</v>
      </c>
    </row>
    <row r="43" customFormat="false" ht="15" hidden="false" customHeight="false" outlineLevel="0" collapsed="false">
      <c r="A43" s="22" t="s">
        <v>135</v>
      </c>
      <c r="B43" s="21" t="s">
        <v>136</v>
      </c>
      <c r="C43" s="21" t="s">
        <v>28</v>
      </c>
      <c r="D43" s="22" t="n">
        <v>7</v>
      </c>
      <c r="E43" s="26" t="n">
        <v>46384</v>
      </c>
      <c r="F43" s="26" t="n">
        <v>46391</v>
      </c>
      <c r="G43" s="24" t="n">
        <f aca="false">F43-E43+1</f>
        <v>8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1" t="s">
        <v>137</v>
      </c>
    </row>
    <row r="44" customFormat="false" ht="15" hidden="false" customHeight="false" outlineLevel="0" collapsed="false">
      <c r="A44" s="22" t="s">
        <v>138</v>
      </c>
      <c r="B44" s="21" t="s">
        <v>139</v>
      </c>
      <c r="C44" s="21" t="s">
        <v>11</v>
      </c>
      <c r="D44" s="22" t="n">
        <v>7</v>
      </c>
      <c r="E44" s="26" t="n">
        <v>46391</v>
      </c>
      <c r="F44" s="26" t="n">
        <v>46393</v>
      </c>
      <c r="G44" s="24" t="n">
        <f aca="false">F44-E44+1</f>
        <v>3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1" t="s">
        <v>140</v>
      </c>
    </row>
    <row r="45" customFormat="false" ht="15" hidden="false" customHeight="false" outlineLevel="0" collapsed="false">
      <c r="A45" s="22" t="s">
        <v>141</v>
      </c>
      <c r="B45" s="21" t="s">
        <v>142</v>
      </c>
      <c r="C45" s="21" t="s">
        <v>28</v>
      </c>
      <c r="D45" s="22" t="n">
        <v>7</v>
      </c>
      <c r="E45" s="26" t="n">
        <v>46391</v>
      </c>
      <c r="F45" s="26" t="n">
        <v>46396</v>
      </c>
      <c r="G45" s="24" t="n">
        <f aca="false">F45-E45+1</f>
        <v>6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1" t="s">
        <v>143</v>
      </c>
    </row>
    <row r="46" customFormat="false" ht="15" hidden="false" customHeight="false" outlineLevel="0" collapsed="false">
      <c r="A46" s="22" t="s">
        <v>144</v>
      </c>
      <c r="B46" s="21" t="s">
        <v>145</v>
      </c>
      <c r="C46" s="21" t="s">
        <v>11</v>
      </c>
      <c r="D46" s="22" t="n">
        <v>7</v>
      </c>
      <c r="E46" s="26" t="n">
        <v>46395</v>
      </c>
      <c r="F46" s="26" t="n">
        <v>46397</v>
      </c>
      <c r="G46" s="24" t="n">
        <f aca="false">F46-E46+1</f>
        <v>3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1" t="s">
        <v>146</v>
      </c>
    </row>
    <row r="47" customFormat="false" ht="15" hidden="false" customHeight="false" outlineLevel="0" collapsed="false">
      <c r="A47" s="40" t="s">
        <v>147</v>
      </c>
      <c r="B47" s="41" t="s">
        <v>148</v>
      </c>
      <c r="C47" s="21" t="s">
        <v>11</v>
      </c>
      <c r="D47" s="22" t="n">
        <v>8</v>
      </c>
      <c r="E47" s="23" t="n">
        <f aca="false">MIN(E48:E50)</f>
        <v>46398</v>
      </c>
      <c r="F47" s="23" t="n">
        <f aca="false">MAX(F48:F50)</f>
        <v>46404</v>
      </c>
      <c r="G47" s="24" t="n">
        <f aca="false">F47-E47+1</f>
        <v>7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1" t="s">
        <v>149</v>
      </c>
    </row>
    <row r="48" customFormat="false" ht="15" hidden="false" customHeight="false" outlineLevel="0" collapsed="false">
      <c r="A48" s="22" t="s">
        <v>150</v>
      </c>
      <c r="B48" s="21" t="s">
        <v>151</v>
      </c>
      <c r="C48" s="21" t="s">
        <v>90</v>
      </c>
      <c r="D48" s="22" t="n">
        <v>8</v>
      </c>
      <c r="E48" s="26" t="n">
        <v>46398</v>
      </c>
      <c r="F48" s="26" t="n">
        <v>46401</v>
      </c>
      <c r="G48" s="24" t="n">
        <f aca="false">F48-E48+1</f>
        <v>4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1" t="s">
        <v>152</v>
      </c>
    </row>
    <row r="49" customFormat="false" ht="15" hidden="false" customHeight="false" outlineLevel="0" collapsed="false">
      <c r="A49" s="22" t="s">
        <v>153</v>
      </c>
      <c r="B49" s="21" t="s">
        <v>154</v>
      </c>
      <c r="C49" s="21" t="s">
        <v>28</v>
      </c>
      <c r="D49" s="22" t="n">
        <v>8</v>
      </c>
      <c r="E49" s="26" t="n">
        <v>46398</v>
      </c>
      <c r="F49" s="26" t="n">
        <v>46403</v>
      </c>
      <c r="G49" s="24" t="n">
        <f aca="false">F49-E49+1</f>
        <v>6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1" t="s">
        <v>155</v>
      </c>
    </row>
    <row r="50" customFormat="false" ht="15" hidden="false" customHeight="false" outlineLevel="0" collapsed="false">
      <c r="A50" s="22" t="s">
        <v>156</v>
      </c>
      <c r="B50" s="21" t="s">
        <v>157</v>
      </c>
      <c r="C50" s="21" t="s">
        <v>11</v>
      </c>
      <c r="D50" s="22" t="n">
        <v>8</v>
      </c>
      <c r="E50" s="26" t="n">
        <v>46402</v>
      </c>
      <c r="F50" s="26" t="n">
        <v>46404</v>
      </c>
      <c r="G50" s="24" t="n">
        <f aca="false">F50-E50+1</f>
        <v>3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1" t="s">
        <v>158</v>
      </c>
    </row>
    <row r="52" customFormat="false" ht="15" hidden="false" customHeight="false" outlineLevel="0" collapsed="false">
      <c r="A52" s="42" t="s">
        <v>159</v>
      </c>
    </row>
    <row r="53" customFormat="false" ht="15" hidden="false" customHeight="false" outlineLevel="0" collapsed="false">
      <c r="A53" s="43" t="s">
        <v>160</v>
      </c>
    </row>
    <row r="54" customFormat="false" ht="15" hidden="false" customHeight="false" outlineLevel="0" collapsed="false">
      <c r="A54" s="43" t="s">
        <v>161</v>
      </c>
    </row>
    <row r="55" customFormat="false" ht="15" hidden="false" customHeight="false" outlineLevel="0" collapsed="false">
      <c r="A55" s="43" t="s">
        <v>162</v>
      </c>
    </row>
    <row r="56" customFormat="false" ht="15" hidden="false" customHeight="false" outlineLevel="0" collapsed="false">
      <c r="A56" s="43" t="s">
        <v>163</v>
      </c>
    </row>
  </sheetData>
  <conditionalFormatting sqref="H3:W9">
    <cfRule type="expression" priority="2" aboveAverage="0" equalAverage="0" bottom="0" percent="0" rank="0" text="" dxfId="0">
      <formula>AND(H$2&lt;=$F3,H$2+6&gt;=$E3)</formula>
    </cfRule>
  </conditionalFormatting>
  <conditionalFormatting sqref="H10:W15">
    <cfRule type="expression" priority="3" aboveAverage="0" equalAverage="0" bottom="0" percent="0" rank="0" text="" dxfId="1">
      <formula>AND(H$2&lt;=$F10,H$2+6&gt;=$E10)</formula>
    </cfRule>
  </conditionalFormatting>
  <conditionalFormatting sqref="H16:W21">
    <cfRule type="expression" priority="4" aboveAverage="0" equalAverage="0" bottom="0" percent="0" rank="0" text="" dxfId="2">
      <formula>AND(H$2&lt;=$F16,H$2+6&gt;=$E16)</formula>
    </cfRule>
  </conditionalFormatting>
  <conditionalFormatting sqref="H22:W27">
    <cfRule type="expression" priority="5" aboveAverage="0" equalAverage="0" bottom="0" percent="0" rank="0" text="" dxfId="3">
      <formula>AND(H$2&lt;=$F22,H$2+6&gt;=$E22)</formula>
    </cfRule>
  </conditionalFormatting>
  <conditionalFormatting sqref="H28:W35">
    <cfRule type="expression" priority="6" aboveAverage="0" equalAverage="0" bottom="0" percent="0" rank="0" text="" dxfId="4">
      <formula>AND(H$2&lt;=$F28,H$2+6&gt;=$E28)</formula>
    </cfRule>
  </conditionalFormatting>
  <conditionalFormatting sqref="H36:W40">
    <cfRule type="expression" priority="7" aboveAverage="0" equalAverage="0" bottom="0" percent="0" rank="0" text="" dxfId="5">
      <formula>AND(H$2&lt;=$F36,H$2+6&gt;=$E36)</formula>
    </cfRule>
  </conditionalFormatting>
  <conditionalFormatting sqref="H41:W46">
    <cfRule type="expression" priority="8" aboveAverage="0" equalAverage="0" bottom="0" percent="0" rank="0" text="" dxfId="6">
      <formula>AND(H$2&lt;=$F41,H$2+6&gt;=$E41)</formula>
    </cfRule>
  </conditionalFormatting>
  <conditionalFormatting sqref="H47:W50">
    <cfRule type="expression" priority="9" aboveAverage="0" equalAverage="0" bottom="0" percent="0" rank="0" text="" dxfId="7">
      <formula>AND(H$2&lt;=$F47,H$2+6&gt;=$E47)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2026-10-12T06:39:30Z</dcterms:created>
  <dc:creator>openpyxl</dc:creator>
  <dc:description/>
  <dc:language>en-US</dc:language>
  <cp:lastModifiedBy/>
  <dcterms:modified xsi:type="dcterms:W3CDTF">2026-10-12T06:39:30Z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